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服务器\910B-deepseek_V4\官方基准\"/>
    </mc:Choice>
  </mc:AlternateContent>
  <xr:revisionPtr revIDLastSave="0" documentId="13_ncr:1_{598A59E4-7251-4AAD-B930-CFB1270FF6C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说明" sheetId="3" r:id="rId1"/>
    <sheet name="V4 Flash模型性能基线" sheetId="1" r:id="rId2"/>
    <sheet name="V4 Pro模型性能基线" sheetId="2" r:id="rId3"/>
  </sheets>
  <definedNames>
    <definedName name="_xlnm._FilterDatabase" localSheetId="1" hidden="1">'V4 Flash模型性能基线'!$A$1:$W$1</definedName>
    <definedName name="_xlnm._FilterDatabase" localSheetId="2" hidden="1">'V4 Pro模型性能基线'!$A$1:$X$16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6" i="2" l="1"/>
  <c r="U16" i="2"/>
  <c r="S16" i="2"/>
  <c r="W15" i="2"/>
  <c r="U15" i="2"/>
  <c r="S15" i="2"/>
  <c r="W14" i="2"/>
  <c r="U14" i="2"/>
  <c r="S14" i="2"/>
  <c r="W13" i="2"/>
  <c r="U13" i="2"/>
  <c r="S13" i="2"/>
  <c r="W12" i="2"/>
  <c r="U12" i="2"/>
  <c r="S12" i="2"/>
  <c r="W11" i="2"/>
  <c r="U11" i="2"/>
  <c r="S11" i="2"/>
  <c r="W10" i="2"/>
  <c r="U10" i="2"/>
  <c r="S10" i="2"/>
  <c r="W9" i="2"/>
  <c r="U9" i="2"/>
  <c r="S9" i="2"/>
  <c r="W8" i="2"/>
  <c r="U8" i="2"/>
  <c r="S8" i="2"/>
  <c r="W7" i="2"/>
  <c r="U7" i="2"/>
  <c r="S7" i="2"/>
  <c r="W6" i="2"/>
  <c r="U6" i="2"/>
  <c r="S6" i="2"/>
  <c r="W5" i="2"/>
  <c r="U5" i="2"/>
  <c r="S5" i="2"/>
  <c r="W4" i="2"/>
  <c r="U4" i="2"/>
  <c r="S4" i="2"/>
  <c r="W3" i="2"/>
  <c r="U3" i="2"/>
  <c r="S3" i="2"/>
  <c r="W2" i="2"/>
  <c r="U2" i="2"/>
  <c r="S2" i="2"/>
  <c r="W18" i="1"/>
  <c r="U18" i="1"/>
  <c r="S18" i="1"/>
  <c r="W17" i="1"/>
  <c r="U17" i="1"/>
  <c r="S17" i="1"/>
  <c r="W16" i="1"/>
  <c r="U16" i="1"/>
  <c r="S16" i="1"/>
  <c r="W15" i="1"/>
  <c r="U15" i="1"/>
  <c r="S15" i="1"/>
  <c r="W14" i="1"/>
  <c r="U14" i="1"/>
  <c r="S14" i="1"/>
  <c r="W13" i="1"/>
  <c r="U13" i="1"/>
  <c r="S13" i="1"/>
  <c r="W12" i="1"/>
  <c r="U12" i="1"/>
  <c r="S12" i="1"/>
  <c r="W11" i="1"/>
  <c r="U11" i="1"/>
  <c r="S11" i="1"/>
  <c r="W10" i="1"/>
  <c r="U10" i="1"/>
  <c r="S10" i="1"/>
  <c r="W9" i="1"/>
  <c r="U9" i="1"/>
  <c r="S9" i="1"/>
  <c r="W8" i="1"/>
  <c r="U8" i="1"/>
  <c r="S8" i="1"/>
  <c r="W7" i="1"/>
  <c r="U7" i="1"/>
  <c r="S7" i="1"/>
  <c r="W6" i="1"/>
  <c r="U6" i="1"/>
  <c r="S6" i="1"/>
  <c r="W5" i="1"/>
  <c r="U5" i="1"/>
  <c r="S5" i="1"/>
  <c r="W4" i="1"/>
  <c r="U4" i="1"/>
  <c r="S4" i="1"/>
  <c r="W3" i="1"/>
  <c r="U3" i="1"/>
  <c r="S3" i="1"/>
  <c r="W2" i="1"/>
  <c r="U2" i="1"/>
  <c r="S2" i="1"/>
</calcChain>
</file>

<file path=xl/sharedStrings.xml><?xml version="1.0" encoding="utf-8"?>
<sst xmlns="http://schemas.openxmlformats.org/spreadsheetml/2006/main" count="771" uniqueCount="115">
  <si>
    <r>
      <t>*</t>
    </r>
    <r>
      <rPr>
        <b/>
        <sz val="11"/>
        <color rgb="FF000000"/>
        <rFont val="微软雅黑"/>
        <family val="2"/>
        <charset val="134"/>
      </rPr>
      <t>模型名称</t>
    </r>
  </si>
  <si>
    <t>推理框架</t>
  </si>
  <si>
    <r>
      <t>*</t>
    </r>
    <r>
      <rPr>
        <b/>
        <sz val="11"/>
        <color rgb="FF000000"/>
        <rFont val="微软雅黑"/>
        <family val="2"/>
        <charset val="134"/>
      </rPr>
      <t>产品组合</t>
    </r>
  </si>
  <si>
    <r>
      <t>*</t>
    </r>
    <r>
      <rPr>
        <b/>
        <sz val="11"/>
        <color rgb="FF000000"/>
        <rFont val="微软雅黑"/>
        <family val="2"/>
        <charset val="134"/>
      </rPr>
      <t>场景</t>
    </r>
  </si>
  <si>
    <r>
      <t>*</t>
    </r>
    <r>
      <rPr>
        <b/>
        <sz val="11"/>
        <color rgb="FF000000"/>
        <rFont val="微软雅黑"/>
        <family val="2"/>
        <charset val="134"/>
      </rPr>
      <t>设备信息</t>
    </r>
  </si>
  <si>
    <t>组网形态</t>
  </si>
  <si>
    <r>
      <t>*</t>
    </r>
    <r>
      <rPr>
        <b/>
        <sz val="11"/>
        <color rgb="FF000000"/>
        <rFont val="微软雅黑"/>
        <family val="2"/>
        <charset val="134"/>
      </rPr>
      <t>总卡数</t>
    </r>
  </si>
  <si>
    <t>数据格式</t>
  </si>
  <si>
    <t>并行策略</t>
  </si>
  <si>
    <r>
      <t>*</t>
    </r>
    <r>
      <rPr>
        <b/>
        <sz val="11"/>
        <color rgb="FF000000"/>
        <rFont val="微软雅黑"/>
        <family val="2"/>
        <charset val="134"/>
      </rPr>
      <t>平均输入</t>
    </r>
  </si>
  <si>
    <r>
      <t>*</t>
    </r>
    <r>
      <rPr>
        <b/>
        <sz val="11"/>
        <color rgb="FF000000"/>
        <rFont val="微软雅黑"/>
        <family val="2"/>
        <charset val="134"/>
      </rPr>
      <t>平均输出</t>
    </r>
  </si>
  <si>
    <t>Prefix Cache命中率</t>
  </si>
  <si>
    <t>系统并发数</t>
  </si>
  <si>
    <r>
      <t>*</t>
    </r>
    <r>
      <rPr>
        <b/>
        <sz val="11"/>
        <color rgb="FF000000"/>
        <rFont val="微软雅黑"/>
        <family val="2"/>
        <charset val="134"/>
      </rPr>
      <t>TTFT平均(ms)</t>
    </r>
  </si>
  <si>
    <t>*TPOT平均(ms)</t>
    <phoneticPr fontId="5" type="noConversion"/>
  </si>
  <si>
    <r>
      <t>*</t>
    </r>
    <r>
      <rPr>
        <b/>
        <sz val="11"/>
        <color rgb="FF000000"/>
        <rFont val="微软雅黑"/>
        <family val="2"/>
        <charset val="134"/>
      </rPr>
      <t>E2E时间(s)</t>
    </r>
  </si>
  <si>
    <r>
      <t>*</t>
    </r>
    <r>
      <rPr>
        <b/>
        <sz val="11"/>
        <color rgb="FF000000"/>
        <rFont val="微软雅黑"/>
        <family val="2"/>
        <charset val="134"/>
      </rPr>
      <t>输出吞吐(tps)</t>
    </r>
    <phoneticPr fontId="5" type="noConversion"/>
  </si>
  <si>
    <r>
      <t>*</t>
    </r>
    <r>
      <rPr>
        <b/>
        <sz val="11"/>
        <color rgb="FF000000"/>
        <rFont val="微软雅黑"/>
        <family val="2"/>
        <charset val="134"/>
      </rPr>
      <t>E2E吞吐(tps)</t>
    </r>
  </si>
  <si>
    <r>
      <t>*</t>
    </r>
    <r>
      <rPr>
        <b/>
        <sz val="11"/>
        <color rgb="FF000000"/>
        <rFont val="微软雅黑"/>
        <family val="2"/>
        <charset val="134"/>
      </rPr>
      <t>单卡E2E吞吐(tps)</t>
    </r>
  </si>
  <si>
    <r>
      <t>*</t>
    </r>
    <r>
      <rPr>
        <b/>
        <sz val="11"/>
        <color rgb="FF000000"/>
        <rFont val="微软雅黑"/>
        <family val="2"/>
        <charset val="134"/>
      </rPr>
      <t>QPS</t>
    </r>
  </si>
  <si>
    <t>QPM</t>
  </si>
  <si>
    <t>deepseek V4 flash</t>
  </si>
  <si>
    <t>vLLM Ascend</t>
  </si>
  <si>
    <t>A3PD分离</t>
  </si>
  <si>
    <t>高吞吐</t>
  </si>
  <si>
    <t>Atlas 800I A3 560T</t>
  </si>
  <si>
    <t>3*1P + 1*1D(EP16)
共4机</t>
    <phoneticPr fontId="5" type="noConversion"/>
  </si>
  <si>
    <t>W8A8C16</t>
  </si>
  <si>
    <t>P: MLA：DP16+TP1; MOE：EP16+TP1
D:  MLA：DP16+TP1; MOE：EP16+TP1</t>
  </si>
  <si>
    <t>8K</t>
  </si>
  <si>
    <t>1K</t>
  </si>
  <si>
    <t>2*1P + 1*2D(EP32)
共4机</t>
    <phoneticPr fontId="5" type="noConversion"/>
  </si>
  <si>
    <t>P: MLA：DP16+TP1; MOE：EP16+TP1
D:  MLA：DP32+TP1; MOE：EP32+TP1</t>
  </si>
  <si>
    <t>16K</t>
  </si>
  <si>
    <t>2*1P + 1*2D(EP32)
共4机</t>
  </si>
  <si>
    <t>低时延</t>
  </si>
  <si>
    <t>3*1P + 1*1D(EP16)
共4机</t>
  </si>
  <si>
    <t>32K</t>
  </si>
  <si>
    <t>128K</t>
  </si>
  <si>
    <t>超长序列</t>
  </si>
  <si>
    <t>1M</t>
  </si>
  <si>
    <t>A3单机混部</t>
  </si>
  <si>
    <t>DP2+TP8</t>
  </si>
  <si>
    <t>DP4+TP4</t>
  </si>
  <si>
    <t>A2 单机混部</t>
  </si>
  <si>
    <t>Atlas 800I A2 280T</t>
    <phoneticPr fontId="5" type="noConversion"/>
  </si>
  <si>
    <t>w8a8</t>
  </si>
  <si>
    <t>DP1TP8</t>
  </si>
  <si>
    <t>1M</t>
    <phoneticPr fontId="5" type="noConversion"/>
  </si>
  <si>
    <t>A2 8机PD分离</t>
  </si>
  <si>
    <t>4*1P+1*4D
共8机</t>
  </si>
  <si>
    <t xml:space="preserve">P:DP8TP1
D:DP32TP1 </t>
  </si>
  <si>
    <t>A2 8机PD分离</t>
    <phoneticPr fontId="5" type="noConversion"/>
  </si>
  <si>
    <t>Prefix Cache
命中率</t>
    <phoneticPr fontId="12" type="noConversion"/>
  </si>
  <si>
    <t>*TPOT平均(ms)</t>
    <phoneticPr fontId="12" type="noConversion"/>
  </si>
  <si>
    <r>
      <t>*</t>
    </r>
    <r>
      <rPr>
        <b/>
        <sz val="11"/>
        <color rgb="FF000000"/>
        <rFont val="微软雅黑"/>
        <family val="2"/>
        <charset val="134"/>
      </rPr>
      <t>输出吞吐(tps)</t>
    </r>
  </si>
  <si>
    <t>deepseek V4 pro</t>
  </si>
  <si>
    <t>3*2P + 1*2D(EP32)
共8机</t>
  </si>
  <si>
    <t>W4A8</t>
  </si>
  <si>
    <t>P: MLA：DP4+TP8; 
MOE：EP32+TP8
D:  MLA：DP16+TP2; MOE：EP32+TP2</t>
  </si>
  <si>
    <t>1*2P + 1*2D(EP32)
共4机</t>
    <phoneticPr fontId="12" type="noConversion"/>
  </si>
  <si>
    <t>P: MLA：DP2+TP16; 
MOE：EP32+TP16
D:  MLA：DP16+TP2; MOE：EP32+TP2</t>
  </si>
  <si>
    <t>"P: MLA：DP2+TP16; 
MOE：EP32+TP16
D:  MLA：DP2+TP16; MOE：EP32+TP16"</t>
  </si>
  <si>
    <t>99%(但不命中）</t>
    <phoneticPr fontId="12" type="noConversion"/>
  </si>
  <si>
    <t>1M场景prefix cache无法命中；待多级缓存支持后解决命中问题</t>
    <phoneticPr fontId="12" type="noConversion"/>
  </si>
  <si>
    <t>A3双机混部</t>
  </si>
  <si>
    <t>双机混部EP32
共2机</t>
  </si>
  <si>
    <t>DP2+TP16</t>
  </si>
  <si>
    <t>1M</t>
    <phoneticPr fontId="12" type="noConversion"/>
  </si>
  <si>
    <t>A2 4机混部</t>
  </si>
  <si>
    <t>w4a8</t>
  </si>
  <si>
    <t>dp4 tp8 ep</t>
  </si>
  <si>
    <t>P:DP4TP8
D:DP8TP4</t>
  </si>
  <si>
    <t>1*4P+1*4D(EP32)</t>
  </si>
  <si>
    <t>单机混部EP16</t>
    <phoneticPr fontId="1" type="noConversion"/>
  </si>
  <si>
    <r>
      <rPr>
        <b/>
        <sz val="11"/>
        <color rgb="FFC0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单卡输出吞吐(tps)</t>
    </r>
    <phoneticPr fontId="12" type="noConversion"/>
  </si>
  <si>
    <r>
      <rPr>
        <b/>
        <sz val="11"/>
        <color rgb="FFC00000"/>
        <rFont val="微软雅黑"/>
        <family val="2"/>
        <charset val="134"/>
      </rPr>
      <t>*</t>
    </r>
    <r>
      <rPr>
        <b/>
        <sz val="11"/>
        <rFont val="微软雅黑"/>
        <family val="2"/>
        <charset val="134"/>
      </rPr>
      <t>单卡输出吞吐(tps)</t>
    </r>
    <phoneticPr fontId="5" type="noConversion"/>
  </si>
  <si>
    <t>系统并发数</t>
    <phoneticPr fontId="1" type="noConversion"/>
  </si>
  <si>
    <r>
      <rPr>
        <b/>
        <sz val="11"/>
        <color rgb="FFC00000"/>
        <rFont val="微软雅黑"/>
        <family val="2"/>
        <charset val="134"/>
      </rPr>
      <t>1、基线范围及配置：</t>
    </r>
    <r>
      <rPr>
        <sz val="11"/>
        <rFont val="微软雅黑"/>
        <family val="2"/>
        <charset val="134"/>
      </rPr>
      <t>此份性能基线涵盖DeepSeek V4 Flash/Pro两个模型及相关配置。分别为：Flash模型-A3 32卡大EP、Flash模型-A3 8卡单机混部、Flash模型-A2 8卡单机混部、</t>
    </r>
    <r>
      <rPr>
        <sz val="11"/>
        <color rgb="FFC00000"/>
        <rFont val="微软雅黑"/>
        <family val="2"/>
        <charset val="134"/>
      </rPr>
      <t>Flash模型-A2 64卡大EP</t>
    </r>
    <r>
      <rPr>
        <sz val="11"/>
        <rFont val="微软雅黑"/>
        <family val="2"/>
        <charset val="134"/>
      </rPr>
      <t>；Pro模型-A3 64卡大EP、Pro模型-A3 16卡双机混部、</t>
    </r>
    <r>
      <rPr>
        <sz val="11"/>
        <color rgb="FFC00000"/>
        <rFont val="微软雅黑"/>
        <family val="2"/>
        <charset val="134"/>
      </rPr>
      <t>Pro模型-A2 32卡4机混部</t>
    </r>
    <r>
      <rPr>
        <sz val="11"/>
        <rFont val="微软雅黑"/>
        <family val="2"/>
        <charset val="134"/>
      </rPr>
      <t>、</t>
    </r>
    <r>
      <rPr>
        <sz val="11"/>
        <color rgb="FFC00000"/>
        <rFont val="微软雅黑"/>
        <family val="2"/>
        <charset val="134"/>
      </rPr>
      <t>Pro模型-A2 64卡大EP</t>
    </r>
    <r>
      <rPr>
        <sz val="11"/>
        <rFont val="微软雅黑"/>
        <family val="2"/>
        <charset val="134"/>
      </rPr>
      <t xml:space="preserve">。测试Case覆盖8K/1K~1M/1K
</t>
    </r>
    <r>
      <rPr>
        <b/>
        <sz val="11"/>
        <color rgb="FFC00000"/>
        <rFont val="微软雅黑"/>
        <family val="2"/>
        <charset val="134"/>
      </rPr>
      <t>2、功能支持：</t>
    </r>
    <r>
      <rPr>
        <sz val="11"/>
        <rFont val="微软雅黑"/>
        <family val="2"/>
        <charset val="134"/>
      </rPr>
      <t xml:space="preserve">支持1M超长序列、prefix cache、function call等功能特性
</t>
    </r>
    <r>
      <rPr>
        <b/>
        <sz val="11"/>
        <color rgb="FFC00000"/>
        <rFont val="微软雅黑"/>
        <family val="2"/>
        <charset val="134"/>
      </rPr>
      <t>3、当前问题：</t>
    </r>
    <r>
      <rPr>
        <sz val="11"/>
        <rFont val="微软雅黑"/>
        <family val="2"/>
        <charset val="134"/>
      </rPr>
      <t xml:space="preserve">DeepseekV4 Pro模型，A3双机混部和PD分离场景，1M输入下，prefix cache无法命中，待多级缓存支持后，命中率可以提升
</t>
    </r>
    <r>
      <rPr>
        <b/>
        <sz val="11"/>
        <color rgb="FFC00000"/>
        <rFont val="微软雅黑"/>
        <family val="2"/>
        <charset val="134"/>
      </rPr>
      <t>4、相关链接：</t>
    </r>
    <r>
      <rPr>
        <sz val="11"/>
        <rFont val="微软雅黑"/>
        <family val="2"/>
        <charset val="134"/>
      </rPr>
      <t xml:space="preserve">
【vLLM-Ascend】
版本号：vllm-ascend:deepseekv4
镜像仓库：https://quay.io/repository/ascend/vllm-ascend?tab=tags
镜像名称：deepseekv4-a3、deepseekv4
Flash模型Vllm部署指导：https://docs.vllm.ai/projects/ascend/en/v0.18.0/tutorials/models/DeepSeek-V4-Flash.html
Pro模型Vllm部署指导：https://docs.vllm.ai/projects/ascend/en/v0.18.0/tutorials/models/DeepSeek-V4-Pro.html
Flash模型权重下载：https://modelers.cn/models/Eco-Tech/DeepSeek-V4-Flash-w8a8-mtp
Pro模型权重下载：https://modelers.cn/models/Eco-Tech/DeepSeek-V4-Pro-w4a8-mtp</t>
    </r>
    <phoneticPr fontId="1" type="noConversion"/>
  </si>
  <si>
    <t>W8A8C16</t>
    <phoneticPr fontId="1" type="noConversion"/>
  </si>
  <si>
    <t>参数配置</t>
    <phoneticPr fontId="1" type="noConversion"/>
  </si>
  <si>
    <t>p:
unset https_proxy
unset http_proxy
rm -rf ~/ascend/log
nic_name="enp48s3u1u2"
local_ip=141.61.81.32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135000 \
  --max-num-batched-tokens 8192 \
  --max-num-seqs 4 \
  --no-disable-hybrid-kv-cache-manager \
  --no-enable-prefix-caching \
  --safetensors-load-strategy 'prefetch' \
  --trust-remote-code \
  --tokenizer-mode deepseek_v4 \
  --tool-call-parser deepseek_v4 \
  --enable-auto-tool-choice \
  --reasoning-parser deepseek_v4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"2",
  "kv_connector_extra_config": {
              "prefill": {
                      "dp_size": 16,
                      "tp_size": 1
              },
              "decode": {
                      "dp_size": 16,
                      "tp_size": 1
              }
      }
  }' &gt; model.log 2&gt;&amp;1 &amp;
D:
unset ftp_proxy
unset https_proxy
unset http_proxy
rm -rf ~/ascend/log
nic_name="enp48s3u1u2"
local_ip=141.61.81.33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135000 \
    --max-num-batched-tokens 120 \
    --max-num-seqs 60 \
    --async-scheduling \
    --no-disable-hybrid-kv-cache-manager \
    --no-enable-prefix-caching \
    --safetensors-load-strategy 'prefetch' \
    --trust-remote-code \
    --tokenizer-mode deepseek_v4 \
    --tool-call-parser deepseek_v4 \
    --enable-auto-tool-choice \
    --reasoning-parser deepseek_v4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"30300",
    "engine_id": "3",
    "kv_connector_extra_config": {
                "prefill": {
                        "dp_size": 16,
                        "tp_size": 1
                },
                "decode": {
                        "dp_size": 16,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"dynamic_eplb":true,
              "expert_heat_collection_interval":600,
              "algorithm_execution_interval":50,
              "eplb_policy_type":2,
              "num_redundant_experts":16
       },
       "enable_cpu_binding":true,
       "multistream_overlap_shared_expert":false,
       "multistream_dsa_preprocess":false,
       "recompute_scheduler_enable":true
    }' \
    &gt; model.log 2&gt;&amp;1 &amp;</t>
    <phoneticPr fontId="12" type="noConversion"/>
  </si>
  <si>
    <t>P开启MC2
p:
unset https_proxy
unset http_proxy
rm -rf ~/ascend/log
nic_name="enp48s3u1u2"
local_ip=141.61.81.32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VLLM_ASCEND_ENABLE_FUSED_MC2=1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135000 \
  --max-num-batched-tokens 8192 \
  --max-num-seqs 4 \
  --no-disable-hybrid-kv-cache-manager \
  --no-enable-prefix-caching \
  --safetensors-load-strategy 'prefetch' \
  --trust-remote-code \
  --tokenizer-mode deepseek_v4 \
  --tool-call-parser deepseek_v4 \
  --enable-auto-tool-choice \
  --reasoning-parser deepseek_v4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"2",
  "kv_connector_extra_config": {
              "prefill": {
                      "dp_size": 16,
                      "tp_size": 1
              },
              "decode": {
                      "dp_size": 16,
                      "tp_size": 1
              }
      }
  }' &gt; model.log 2&gt;&amp;1 &amp;
D:
unset ftp_proxy
unset https_proxy
unset http_proxy
rm -rf ~/ascend/log
nic_name="enp48s3u1u2"
local_ip=141.61.81.33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135000 \
    --max-num-batched-tokens 120 \
    --max-num-seqs 60 \
    --async-scheduling \
    --no-disable-hybrid-kv-cache-manager \
    --no-enable-prefix-caching \
    --safetensors-load-strategy 'prefetch' \
    --trust-remote-code \
    --tokenizer-mode deepseek_v4 \
    --tool-call-parser deepseek_v4 \
    --enable-auto-tool-choice \
    --reasoning-parser deepseek_v4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"30300",
    "engine_id": "3",
    "kv_connector_extra_config": {
                "prefill": {
                        "dp_size": 16,
                        "tp_size": 1
                },
                "decode": {
                        "dp_size": 16,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"dynamic_eplb":true,
              "expert_heat_collection_interval":600,
              "algorithm_execution_interval":50,
              "eplb_policy_type":2,
              "num_redundant_experts":16
       },
       "enable_cpu_binding":true,
       "multistream_overlap_shared_expert":false,
       "multistream_dsa_preprocess":false,
       "recompute_scheduler_enable":true
    }' \
    &gt; model.log 2&gt;&amp;1 &amp;</t>
  </si>
  <si>
    <t xml:space="preserve">P:
unset https_proxy
unset http_proxy
rm -rf ~/ascend/log
nic_name="enp48s3u1u2"
local_ip=141.61.81.31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13000 \
  --max-num-batched-tokens 8192 \
  --max-num-seqs 4 \
  --no-disable-hybrid-kv-cache-manager \
  --enable-prefix-caching \
  --trust-remote-code \
  --chat-template /mnt/share/z00919641/v4_w8a8/chat_template.jinja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"1",
  "kv_connector_extra_config": {
              "prefill": {
                      "dp_size": 16,
                      "tp_size": 1
              }
      }
  }' &gt; model.log 2&gt;&amp;1 &amp;
D:
unset ftp_proxy
unset https_proxy
unset http_proxy
rm -rf ~/ascend/log
nic_name="enp48s3u1u2"
local_ip=141.61.81.32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70000 \
    --max-num-batched-tokens 112 \
    --max-num-seqs 56 \
    --async-scheduling \
    --no-disable-hybrid-kv-cache-manager \
    --no-enable-prefix-caching \
    --chat-template /mnt/share/z00919641/v4_w8a8/chat_template.jinja \
    --trust-remote-code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"31000",
    "engine_id": "10",
"kv_connector_extra_config": {
                "prefill": {
                        "dp_size": 16,
                        "tp_size": 1
                },
                "decode": {
                        "dp_size": 32,
                        "tp_size": 1
                }
        }
    }' \
    --additional_config '{"ascend_compilation_config": {"enable_npugraph_ex": true,"enable_static_kernel": false},"eplb_config":{"dynamic_eplb":true,"expert_heat_collection_interval":600,"algorithm_execution_interval":50, "eplb_policy_type":2, "num_redundant_experts":32},"enable_cpu_binding": "True","multistream_overlap_shared_expert": false,"multistream_dsa_preprocess": false,"recompute_scheduler_enable":true}' \
    &gt; model.log 2&gt;&amp;1 &amp;
</t>
  </si>
  <si>
    <t xml:space="preserve">稳态
P:
unset https_proxy
unset http_proxy
rm -rf ~/ascend/log
nic_name="enp48s3u1u2"
local_ip=141.61.81.31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13000 \
  --max-num-batched-tokens 8192 \
  --max-num-seqs 4 \
  --no-disable-hybrid-kv-cache-manager \
  --enable-prefix-caching \
  --trust-remote-code \
  --chat-template /mnt/share/z00919641/v4_w8a8/chat_template.jinja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"1",
  "kv_connector_extra_config": {
              "prefill": {
                      "dp_size": 16,
                      "tp_size": 1
              }
      }
  }' &gt; model.log 2&gt;&amp;1 &amp;
D:
unset ftp_proxy
unset https_proxy
unset http_proxy
rm -rf ~/ascend/log
nic_name="enp48s3u1u2"
local_ip=141.61.81.32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70000 \
    --max-num-batched-tokens 112 \
    --max-num-seqs 56 \
    --async-scheduling \
    --no-disable-hybrid-kv-cache-manager \
    --no-enable-prefix-caching \
    --chat-template /mnt/share/z00919641/v4_w8a8/chat_template.jinja \
    --trust-remote-code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"31000",
    "engine_id": "10",
"kv_connector_extra_config": {
                "prefill": {
                        "dp_size": 16,
                        "tp_size": 1
                },
                "decode": {
                        "dp_size": 32,
                        "tp_size": 1
                }
        }
    }' \
    --additional_config '{"ascend_compilation_config": {"enable_npugraph_ex": true,"enable_static_kernel": false},"eplb_config":{"dynamic_eplb":true,"expert_heat_collection_interval":600,"algorithm_execution_interval":50, "eplb_policy_type":2, "num_redundant_experts":32},"enable_cpu_binding": "True","multistream_overlap_shared_expert": false,"multistream_dsa_preprocess": false,"recompute_scheduler_enable":true}' \
    &gt; model.log 2&gt;&amp;1 &amp;
</t>
  </si>
  <si>
    <t>p:
unset https_proxy
unset http_proxy
rm -rf ~/ascend/log
nic_name="enp48s3u1u2"
local_ip=141.61.81.32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135000 \
  --max-num-batched-tokens 8192 \
  --max-num-seqs 4 \
  --no-disable-hybrid-kv-cache-manager \
  --no-enable-prefix-caching \
  --safetensors-load-strategy 'prefetch' \
  --trust-remote-code \
  --tokenizer-mode deepseek_v4 \
  --tool-call-parser deepseek_v4 \
  --enable-auto-tool-choice \
  --reasoning-parser deepseek_v4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"2",
  "kv_connector_extra_config": {
              "prefill": {
                      "dp_size": 16,
                      "tp_size": 1
              },
              "decode": {
                      "dp_size": 16,
                      "tp_size": 1
              }
      }
  }' &gt; model.log 2&gt;&amp;1 &amp;
D:
unset ftp_proxy
unset https_proxy
unset http_proxy
rm -rf ~/ascend/log
nic_name="enp48s3u1u2"
local_ip=141.61.81.33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135000 \
    --max-num-batched-tokens 120 \
    --max-num-seqs 60 \
    --async-scheduling \
    --no-disable-hybrid-kv-cache-manager \
    --no-enable-prefix-caching \
    --safetensors-load-strategy 'prefetch' \
    --trust-remote-code \
    --tokenizer-mode deepseek_v4 \
    --tool-call-parser deepseek_v4 \
    --enable-auto-tool-choice \
    --reasoning-parser deepseek_v4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"30300",
    "engine_id": "3",
    "kv_connector_extra_config": {
                "prefill": {
                        "dp_size": 16,
                        "tp_size": 1
                },
                "decode": {
                        "dp_size": 16,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"dynamic_eplb":true,
              "expert_heat_collection_interval":600,
              "algorithm_execution_interval":50,
              "eplb_policy_type":2,
              "num_redundant_experts":16
       },
       "enable_cpu_binding":true,
       "multistream_overlap_shared_expert":false,
       "multistream_dsa_preprocess":false,
       "recompute_scheduler_enable":true
    }' \
    &gt; model.log 2&gt;&amp;1 &amp;</t>
  </si>
  <si>
    <t>p:
unset https_proxy
unset http_proxy
rm -rf ~/ascend/log
nic_name="enp48s3u1u2"
local_ip=141.61.81.32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135000 \
  --max-num-batched-tokens 8192 \
  --max-num-seqs 4 \
  --no-disable-hybrid-kv-cache-manager \
  --enable-prefix-caching \
  --safetensors-load-strategy 'prefetch' \
  --trust-remote-code \
  --tokenizer-mode deepseek_v4 \
  --tool-call-parser deepseek_v4 \
  --enable-auto-tool-choice \
  --reasoning-parser deepseek_v4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"2",
  "kv_connector_extra_config": {
              "prefill": {
                      "dp_size": 16,
                      "tp_size": 1
              },
              "decode": {
                      "dp_size": 16,
                      "tp_size": 1
              }
      }
  }' &gt; model.log 2&gt;&amp;1 &amp;
D:
unset ftp_proxy
unset https_proxy
unset http_proxy
rm -rf ~/ascend/log
nic_name="enp48s3u1u2"
local_ip=141.61.81.33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135000 \
    --max-num-batched-tokens 120 \
    --max-num-seqs 60 \
    --async-scheduling \
    --no-disable-hybrid-kv-cache-manager \
    --enable-prefix-caching \
    --safetensors-load-strategy 'prefetch' \
    --trust-remote-code \
    --tokenizer-mode deepseek_v4 \
    --tool-call-parser deepseek_v4 \
    --enable-auto-tool-choice \
    --reasoning-parser deepseek_v4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"30300",
    "engine_id": "3",
    "kv_connector_extra_config": {
                "prefill": {
                        "dp_size": 16,
                        "tp_size": 1
                },
                "decode": {
                        "dp_size": 16,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"dynamic_eplb":true,
              "expert_heat_collection_interval":600,
              "algorithm_execution_interval":50,
              "eplb_policy_type":2,
              "num_redundant_experts":16
       },
       "enable_cpu_binding":true,
       "multistream_overlap_shared_expert":false,
       "multistream_dsa_preprocess":false,
       "recompute_scheduler_enable":true
    }' \
    &gt; model.log 2&gt;&amp;1 &amp;</t>
  </si>
  <si>
    <t>p:
unset https_proxy
unset http_proxy
rm -rf ~/ascend/log
nic_name="enp48s3u1u2"
local_ip=141.61.81.32
export HCCL_IF_IP=$local_ip
export GLOO_SOCKET_IFNAME=$nic_name
export TP_SOCKET_IFNAME=$nic_name
export HCCL_SOCKET_IFNAME=$nic_name
#export VLLM_LOGGING_LEVEL="info"
export VLLM_RPC_TIMEOUT=3600000
export VLLM_EXECUTE_MODEL_TIMEOUT_SECONDS=30000
export HCCL_EXEC_TIMEOUT=204
export HCCL_CONNECT_TIMEOUT=120
export OMP_PROC_BIND=false
export OMP_NUM_THREADS=10
export PYTORCH_NPU_ALLOC_CONF=expandable_segments:True
export HCCL_BUFFSIZE=2560
export TASK_QUEUE_ENABLE=1
export HCCL_OP_EXPANSION_MODE="AIV"
export VLLM_USE_V1=1
export ASCEND_BUFFER_POOL=4:8
# # jemalloc
export LD_PRELOAD=/usr/lib/aarch64-linux-gnu/libjemalloc.so.2:$LD_PRELOAD
export USE_MULTI_GROUPS_KV_CACHE=1
export USE_MULTI_BLOCK_POOL=1
export ASCEND_RT_VISIBLE_DEVICES=$1
vllm serve /mnt/share/z00919641/v4_w8a8 \
  --host 0.0.0.0 \
  --port $2 \
  --data-parallel-size $3 \
  --data-parallel-rank $4 \
  --data-parallel-address $5 \
  --data-parallel-rpc-port $6 \
  --tensor-parallel-size $7 \
  --enable-expert-parallel \
  --seed 1024 \
  --served-model-name auto \
  --max-model-len 1M \
  --max-num-batched-tokens 8192 \
  --max-num-seqs 4 \
  --no-disable-hybrid-kv-cache-manager \
  --enable-prefix-caching \
  --safetensors-load-strategy 'prefetch' \
  --trust-remote-code \
  --tokenizer-mode deepseek_v4 \
  --tool-call-parser deepseek_v4 \
  --enable-auto-tool-choice \
  --reasoning-parser deepseek_v4 \
  --gpu-memory-utilization 0.85 \
  --quantization ascend \
  --profiler-config \
      '{"profiler": "torch",
      "torch_profiler_dir": "./vllm_profile",
      "torch_profiler_with_stack": false}' \
  --enforce-eager \
  --additional_config '{"enable_cpu_binding": "True"}' \
  --kv-transfer-config \
  '{"kv_connector": "MooncakeHybridConnector",
  "kv_role": "kv_producer",
  "kv_port": "30200",
  "engine_id": "2",
  "kv_connector_extra_config": {
              "prefill": {
                      "dp_size": 16,
                      "tp_size": 1
              },
              "decode": {
                      "dp_size": 16,
                      "tp_size": 1
              }
      }
  }' &gt; model.log 2&gt;&amp;1 &amp;
D:
unset ftp_proxy
unset https_proxy
unset http_proxy
rm -rf ~/ascend/log
nic_name="enp48s3u1u2"
local_ip=141.61.81.33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VLLM_ASCEND_ENABLE_FUSED_MC2=1
export HCCL_IF_IP=$local_ip
export GLOO_SOCKET_IFNAME=$nic_name
export TP_SOCKET_IFNAME=$nic_name
export HCCL_SOCKET_IFNAME=$nic_name
#export VLLM_LOGGING_LEVEL="info"
export OMP_PROC_BIND=false
export OMP_NUM_THREADS=10
export PYTORCH_NPU_ALLOC_CONF=expandable_segments:True
export HCCL_BUFFSIZE=1024
export TASK_QUEUE_ENABLE=1
export ASCEND_BUFFER_POOL=4:8
export DYNAMIC_EPLB="true"
export VLLM_TORCH_PROFILER_DIR="./vllm_profile"
export VLLM_TORCH_PROFILER_WITH_STACK=0
export USE_MULTI_GROUPS_KV_CACHE=1
export USE_MULTI_BLOCK_POOL=1
export ASCEND_RT_VISIBLE_DEVICES=$1
vllm serve /mnt/share/z00919641/v4_w8a8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1M \
    --max-num-batched-tokens 120 \
    --max-num-seqs 60 \
    --async-scheduling \
    --no-disable-hybrid-kv-cache-manager \
    --enable-prefix-caching \
    --safetensors-load-strategy 'prefetch' \
    --trust-remote-code \
    --tokenizer-mode deepseek_v4 \
    --tool-call-parser deepseek_v4 \
    --enable-auto-tool-choice \
    --reasoning-parser deepseek_v4 \
    --gpu-memory-utilization 0.88 \
    --quantization ascend \
    --profiler-config \
        '{"profiler": "torch",
        "torch_profiler_dir": "./vllm_profile",
       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"30300",
    "engine_id": "3",
    "kv_connector_extra_config": {
                "prefill": {
                        "dp_size": 16,
                        "tp_size": 1
                },
                "decode": {
                        "dp_size": 16,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"dynamic_eplb":true,
              "expert_heat_collection_interval":600,
              "algorithm_execution_interval":50,
              "eplb_policy_type":2,
              "num_redundant_experts":16
       },
       "enable_cpu_binding":true,
       "multistream_overlap_shared_expert":false,
       "multistream_dsa_preprocess":false,
       "recompute_scheduler_enable":true
    }' \
    &gt; model.log 2&gt;&amp;1 &amp;</t>
  </si>
  <si>
    <t>export OMP_PROC_BIND=false
export OMP_NUM_THREADS=10  
export PYTORCH_NPU_ALLOC_CONF=expandable_segments:True
export LD_PRELOAD=/usr/lib/aarch64-linux-gnu/libjemalloc.so.2:$LD_PRELOAD
export VLLM_USE_V1=1
export VLLM_VERSION=0.18.0
export USE_MULTI_BLOCK_POOL=1
export USE_MULTI_GROUPS_KV_CACHE=1
export HCCL_BUFFSIZE=1024
export VLLM_ASCEND_ENABLE_FUSED_MC2=1
export VLLM_ASCEND_ENABLE_FLASHCOMM1=1
export DYNAMIC_EPLB="true"
export VLLM_ENGINE_READY_TIMEOUT_S=1200
vllm serve /mnt/share/z00919641/v4_w8a8 \
    --max_model_len 10240 \
    --max-num-batched-tokens 10240 \
    --served-model-name dsv4 \
    --gpu-memory-utilization 0.9 \
    --max-num-seqs 64 \
    --api-server-count 1 \
    --data-parallel-size 2 \
    --tensor-parallel-size 8 \
    --enable-expert-parallel \
    --tokenizer-mode deepseek_v4 \
    --tool-call-parser deepseek_v4 \
    --enable-auto-tool-choice \
    --reasoning-parser deepseek_v4 \
    --safetensors-load-strategy 'prefetch' \
    --quantization ascend \
    --speculative-config '{"num_speculative_tokens": 1,"method": "deepseek_mtp"}' \
    --port 8008 \
    --block-size 128 \
    --compilation-config '{"cudagraph_mode": "FULL_DECODE_ONLY"}'\
    --async-scheduling \
    --additional-config '
    {"ascend_compilation_config":{
        "enable_npugraph_ex":true,
        "enable_static_kernel":false
        },
    "enable_cpu_binding": "true",
    "eplb_config":{
        "dynamic_eplb":true,
        "expert_heat_collection_interval":600,
        "algorithm_execution_interval":50,
        "eplb_policy_type":2,
        "num_redundant_experts":16
    },
    "multistream_overlap_shared_expert":false,
    "multistream_dsa_preprocess":false}' \
    2&gt;&amp;1 | tee single.log</t>
  </si>
  <si>
    <t>export OMP_PROC_BIND=false
export OMP_NUM_THREADS=10  
export PYTORCH_NPU_ALLOC_CONF=expandable_segments:True
export LD_PRELOAD=/usr/lib/aarch64-linux-gnu/libjemalloc.so.2:$LD_PRELOAD
export VLLM_USE_V1=1
export VLLM_VERSION=0.18.0
export USE_MULTI_BLOCK_POOL=1
export USE_MULTI_GROUPS_KV_CACHE=1
export HCCL_BUFFSIZE=1024
export VLLM_ASCEND_ENABLE_FUSED_MC2=1
export VLLM_ASCEND_ENABLE_FLASHCOMM1=1
export DYNAMIC_EPLB="true"
vllm serve /mnt/share/z00919641/v4_w8a8 \
    --max_model_len 1024000 \
    --max-num-batched-tokens 8192 \
    --served-model-name dsv4 \
    --gpu-memory-utilization 0.9 \
    --max-num-seqs 4 \
    --data-parallel-size 4 \
    --tensor-parallel-size 4 \
    --enable-expert-parallel \
    --tokenizer-mode deepseek_v4 \
    --tool-call-parser deepseek_v4 \
    --enable-auto-tool-choice \
    --reasoning-parser deepseek_v4 \
    --safetensors-load-strategy 'prefetch' \
    --quantization ascend \
    --speculative-config '{"num_speculative_tokens": 1,"method": "deepseek_mtp"}' \
    --port 8008 \
    --block-size 128 \
    --compilation-config '{"cudagraph_mode": "FULL_DECODE_ONLY"}'\
    --async-scheduling \
    --additional-config '
    {"ascend_compilation_config":{
        "enable_npugraph_ex":true,
        "enable_static_kernel":false
        },
    "enable_cpu_binding": "true",
    "eplb_config":{
        "dynamic_eplb":true,
        "expert_heat_collection_interval":600,
        "algorithm_execution_interval":50,
        "eplb_policy_type":2,
        "num_redundant_experts":16
    },
    "multistream_overlap_shared_expert":false,
    "multistream_dsa_preprocess":false}'
 2&gt;&amp;1 | tee single.log</t>
  </si>
  <si>
    <t>export OMP_PROC_BIND=false
export OMP_NUM_THREADS=10  
export PYTORCH_NPU_ALLOC_CONF=expandable_segments:True
export LD_PRELOAD=/usr/lib/aarch64-linux-gnu/libjemalloc.so.2:$LD_PRELOAD
export VLLM_USE_V1=1
export VLLM_VERSION=0.18.0
export USE_MULTI_BLOCK_POOL=1
export USE_MULTI_GROUPS_KV_CACHE=1
export HCCL_BUFFSIZE=1024
export VLLM_ASCEND_ENABLE_FUSED_MC2=1
export VLLM_ASCEND_ENABLE_FLASHCOMM1=1
vllm serve /mnt/share/z00919641/v4_w8a8 \
    --max_model_len 1024000 \
    --max-num-batched-tokens 8192 \
    --served-model-name dsv4 \
    --gpu-memory-utilization 0.9 \
    --max-num-seqs 4 \
    --data-parallel-size 4 \
    --tensor-parallel-size 4 \
    --enable-expert-parallel \
    --tokenizer-mode deepseek_v4 \
    --tool-call-parser deepseek_v4 \
    --enable-auto-tool-choice \
    --reasoning-parser deepseek_v4 \
    --safetensors-load-strategy 'prefetch' \
    --quantization ascend \
    --api-server-count 1 \
    --speculative-config '{"num_speculative_tokens": 1,"method": "deepseek_mtp"}' \
    --port 8008 \
    --block-size 128 \
    --compilation-config '{"cudagraph_mode": "FULL_DECODE_ONLY"}'\
    --async-scheduling \
    --additional-config '
    {"ascend_compilation_config":{
        "enable_npugraph_ex":true,
        "enable_static_kernel":false
        },
    "enable_cpu_binding": "true",
    "multistream_overlap_shared_expert":false,
    "multistream_dsa_preprocess":false}' \
    2&gt;&amp;1 | tee long.log</t>
  </si>
  <si>
    <t>配置参数</t>
    <phoneticPr fontId="1" type="noConversion"/>
  </si>
  <si>
    <t xml:space="preserve">p:
unset https_proxy
unset http_proxy
nic_name="enp48s3u1u2"
local_ip=141.61.81.151
export HCCL_IF_IP=$local_ip
export GLOO_SOCKET_IFNAME=$nic_name
export TP_SOCKET_IFNAME=$nic_name
export HCCL_SOCKET_IFNAME=$nic_name
export VLLM_RPC_TIMEOUT=3600000
export VLLM_EXECUTE_MODEL_TIMEOUT_SECONDS=30000
export HCCL_EXEC_TIMEOUT=204
export HCCL_CONNECT_TIMEOUT=6000
export OMP_PROC_BIND=false
export OMP_NUM_THREADS=10
export PYTORCH_NPU_ALLOC_CONF=expandable_segments:True
export HCCL_BUFFSIZE=1024
export TASK_QUEUE_ENABLE=1
echo performance | tee /sys/devices/system/cpu/cpu*/cpufreq/scaling_governor
sysctl -w vm.swappiness=0
sysctl -w kernel.numa_balancing=0
sysctl kernel.sched_migration_cost_ns=50000
export HCCL_OP_EXPANSION_MODE="AIV"
export VLLM_USE_V1=1
export ASCEND_BUFFER_POOL=4:8
# # jemalloc
export LD_PRELOAD=/usr/lib/aarch64-linux-gnu/libjemalloc.so.2:$LD_PRELOAD
export USE_MULTI_GROUPS_KV_CACHE=1
export USE_MULTI_BLOCK_POOL=1
export VLLM_ASCEND_ENABLE_FLASHCOMM1=1
export VLLM_ASCEND_ENABLE_FUSED_MC2=1
export ASCEND_RT_VISIBLE_DEVICES=$1
vllm serve /mnt/share/z00951268/results/dsv4-pro/DeepSeek-V4-Pro-w4a8-fixmtp \
  --host 0.0.0.0 \
  --port $2 \
  --data-parallel-size $3 \
  --data-parallel-rank $4 \
  --data-parallel-address $5 \
  --data-parallel-rpc-port $6 \
  --tensor-parallel-size $7 \
  --enable-expert-parallel \
  --seed 1024 \
  --served-model-name auto \
  --max-model-len 131072 \
  --max-num-batched-tokens 8192 \
  --max-num-seqs 16 \
  --no-disable-hybrid-kv-cache-manager \
  --tokenizer-mode deepseek_v4 \
  --tool-call-parser deepseek_v4 \
  --enable-auto-tool-choice \
  --reasoning-parser deepseek_v4 \
  --safetensors-load-strategy 'prefetch' \
  --trust-remote-code \
  --gpu-memory-utilization 0.9 \
  --no-enable-prefix-caching \
  --quantization ascend \
  --block-size 128 \
  --enforce-eager \
  --additional_config '{"enable_cpu_binding": "True"}' \
  --kv-transfer-config \
  '{"kv_connector": "MooncakeHybridConnector",
  "kv_role": "kv_producer",
  "kv_port": "30100",
  "engine_id": "1",
  "kv_connector_extra_config": {
              "prefill": {
                      "dp_size": 2,
                      "tp_size": 16
              },
              "decode": {
                      "dp_size": 16,
                      "tp_size": 2
              }
      }
  }'
d:
unset ftp_proxy
unset https_proxy
unset http_proxy
rm -rf ~/ascend/log
nic_name="enp48s3u1u2"
local_ip=141.61.81.173
export HCCL_IF_IP=$local_ip
export GLOO_SOCKET_IFNAME=$nic_name
export TP_SOCKET_IFNAME=$nic_name
export HCCL_SOCKET_IFNAME=$nic_name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# export VLLM_ASCEND_ENABLE_FUSED_MC2=1 #
export OMP_PROC_BIND=false
export OMP_NUM_THREADS=10
export PYTORCH_NPU_ALLOC_CONF=expandable_segments:True
export HCCL_BUFFSIZE=1024
export TASK_QUEUE_ENABLE=1
export ASCEND_BUFFER_POOL=4:8
# export DYNAMIC_EPLB="true"
echo performance | tee /sys/devices/system/cpu/cpu*/cpufreq/scaling_governor
sysctl -w vm.swappiness=0
sysctl -w kernel.numa_balancing=0
sysctl kernel.sched_migration_cost_ns=50000
export USE_MULTI_GROUPS_KV_CACHE=1
export USE_MULTI_BLOCK_POOL=1
export VLLM_ASCEND_ENABLE_FUSED_MC2=1
export ASCEND_RT_VISIBLE_DEVICES=$1
vllm serve /mnt/share/z00951268/results/dsv4-pro/DeepSeek-V4-Pro-w4a8-fixmtp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131072 \
    --max-num-batched-tokens 120 \
    --max-num-seqs 60 \
    --async-scheduling \
    --block-size 128 \
    --tokenizer-mode deepseek_v4 \
    --tool-call-parser deepseek_v4 \
    --enable-auto-tool-choice \
    --reasoning-parser deepseek_v4 \
    --no-disable-hybrid-kv-cache-manager \
    --safetensors-load-strategy 'prefetch' \
    --trust-remote-code \
    --gpu-memory-utilization 0.9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"30800",
    "engine_id": "8",
    "kv_connector_extra_config": {
                "prefill": {
                        "dp_size": 2,
                        "tp_size": 16
                },
                "decode": {
                        "dp_size": 16,
                        "tp_size": 2
                }
        }
    }' \
    --additional-config '{
        "ascend_compilation_config":{
              "enable_npugraph_ex":true,
              "enable_static_kernel":false
        },
       "enable_cpu_binding":true,
       "multistream_overlap_shared_expert":false,
       "multistream_dsa_preprocess":false,
       "recompute_scheduler_enable":true
    }'
</t>
  </si>
  <si>
    <t xml:space="preserve">p:
unset https_proxy
unset http_proxy
nic_name="enp48s3u1u2"
local_ip=141.61.81.151
export HCCL_IF_IP=$local_ip
export GLOO_SOCKET_IFNAME=$nic_name
export TP_SOCKET_IFNAME=$nic_name
export HCCL_SOCKET_IFNAME=$nic_name
export VLLM_RPC_TIMEOUT=3600000
export VLLM_EXECUTE_MODEL_TIMEOUT_SECONDS=30000
export HCCL_EXEC_TIMEOUT=204
export HCCL_CONNECT_TIMEOUT=6000
export OMP_PROC_BIND=false
export OMP_NUM_THREADS=10
export PYTORCH_NPU_ALLOC_CONF=expandable_segments:True
export HCCL_BUFFSIZE=1024
export TASK_QUEUE_ENABLE=1
echo performance | tee /sys/devices/system/cpu/cpu*/cpufreq/scaling_governor
sysctl -w vm.swappiness=0
sysctl -w kernel.numa_balancing=0
sysctl kernel.sched_migration_cost_ns=50000
export HCCL_OP_EXPANSION_MODE="AIV"
export VLLM_USE_V1=1
export ASCEND_BUFFER_POOL=4:8
# # jemalloc
export LD_PRELOAD=/usr/lib/aarch64-linux-gnu/libjemalloc.so.2:$LD_PRELOAD
export USE_MULTI_GROUPS_KV_CACHE=1
export USE_MULTI_BLOCK_POOL=1
export VLLM_ASCEND_ENABLE_FLASHCOMM1=1
export VLLM_ASCEND_ENABLE_FUSED_MC2=1
export ASCEND_RT_VISIBLE_DEVICES=$1
vllm serve /mnt/share/z00951268/results/dsv4-pro/DeepSeek-V4-Pro-w4a8-fixmtp \
  --host 0.0.0.0 \
  --port $2 \
  --data-parallel-size $3 \
  --data-parallel-rank $4 \
  --data-parallel-address $5 \
  --data-parallel-rpc-port $6 \
  --tensor-parallel-size $7 \
  --enable-expert-parallel \
  --seed 1024 \
  --served-model-name auto \
  --max-model-len 131072 \
  --max-num-batched-tokens 8192 \
  --max-num-seqs 16 \
  --no-disable-hybrid-kv-cache-manager \
  --tokenizer-mode deepseek_v4 \
  --tool-call-parser deepseek_v4 \
  --enable-auto-tool-choice \
  --reasoning-parser deepseek_v4 \
  --safetensors-load-strategy 'prefetch' \
  --trust-remote-code \
  --gpu-memory-utilization 0.9 \
  --no-enable-prefix-caching \
  --quantization ascend \
  --block-size 128 \
  --enforce-eager \
  --additional_config '{"enable_cpu_binding": "True"}' \
  --kv-transfer-config \
  '{"kv_connector": "MooncakeHybridConnector",
  "kv_role": "kv_producer",
  "kv_port": "30100",
  "engine_id": "1",
  "kv_connector_extra_config": {
              "prefill": {
                      "dp_size": 4,
                      "tp_size": 8
              },
              "decode": {
                      "dp_size": 16,
                      "tp_size": 2
              }
      }
  }'
d:
unset ftp_proxy
unset https_proxy
unset http_proxy
rm -rf ~/ascend/log
nic_name="enp48s3u1u2"
local_ip=141.61.81.173
export HCCL_IF_IP=$local_ip
export GLOO_SOCKET_IFNAME=$nic_name
export TP_SOCKET_IFNAME=$nic_name
export HCCL_SOCKET_IFNAME=$nic_name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# export VLLM_ASCEND_ENABLE_FUSED_MC2=1 #
export OMP_PROC_BIND=false
export OMP_NUM_THREADS=10
export PYTORCH_NPU_ALLOC_CONF=expandable_segments:True
export HCCL_BUFFSIZE=1024
export TASK_QUEUE_ENABLE=1
export ASCEND_BUFFER_POOL=4:8
# export DYNAMIC_EPLB="true"
echo performance | tee /sys/devices/system/cpu/cpu*/cpufreq/scaling_governor
sysctl -w vm.swappiness=0
sysctl -w kernel.numa_balancing=0
sysctl kernel.sched_migration_cost_ns=50000
export USE_MULTI_GROUPS_KV_CACHE=1
export USE_MULTI_BLOCK_POOL=1
export VLLM_ASCEND_ENABLE_FUSED_MC2=1
export ASCEND_RT_VISIBLE_DEVICES=$1
vllm serve /mnt/share/z00951268/results/dsv4-pro/DeepSeek-V4-Pro-w4a8-fixmtp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131072 \
    --max-num-batched-tokens 120 \
    --max-num-seqs 60 \
    --async-scheduling \
    --block-size 128 \
    --tokenizer-mode deepseek_v4 \
    --tool-call-parser deepseek_v4 \
    --enable-auto-tool-choice \
    --reasoning-parser deepseek_v4 \
    --no-disable-hybrid-kv-cache-manager \
    --safetensors-load-strategy 'prefetch' \
    --trust-remote-code \
    --gpu-memory-utilization 0.9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"30800",
    "engine_id": "8",
    "kv_connector_extra_config": {
                "prefill": {
                        "dp_size": 4,
                        "tp_size": 8
                },
                "decode": {
                        "dp_size": 16,
                        "tp_size": 2
                }
        }
    }' \
    --additional-config '{
        "ascend_compilation_config":{
              "enable_npugraph_ex":true,
              "enable_static_kernel":false
        },
       "enable_cpu_binding":true,
       "multistream_overlap_shared_expert":false,
       "multistream_dsa_preprocess":false,
       "recompute_scheduler_enable":true
    }'
</t>
  </si>
  <si>
    <t xml:space="preserve">p:
unset https_proxy
unset http_proxy
nic_name="enp48s3u1u2"
local_ip=141.61.81.151
export HCCL_IF_IP=$local_ip
export GLOO_SOCKET_IFNAME=$nic_name
export TP_SOCKET_IFNAME=$nic_name
export HCCL_SOCKET_IFNAME=$nic_name
export VLLM_RPC_TIMEOUT=3600000
export VLLM_EXECUTE_MODEL_TIMEOUT_SECONDS=30000
export HCCL_EXEC_TIMEOUT=204
export HCCL_CONNECT_TIMEOUT=6000
export OMP_PROC_BIND=false
export OMP_NUM_THREADS=10
export PYTORCH_NPU_ALLOC_CONF=expandable_segments:True
export HCCL_BUFFSIZE=1024
export TASK_QUEUE_ENABLE=1
echo performance | tee /sys/devices/system/cpu/cpu*/cpufreq/scaling_governor
sysctl -w vm.swappiness=0
sysctl -w kernel.numa_balancing=0
sysctl kernel.sched_migration_cost_ns=50000
export HCCL_OP_EXPANSION_MODE="AIV"
export VLLM_USE_V1=1
export ASCEND_BUFFER_POOL=4:8
# # jemalloc
export LD_PRELOAD=/usr/lib/aarch64-linux-gnu/libjemalloc.so.2:$LD_PRELOAD
export USE_MULTI_GROUPS_KV_CACHE=1
export USE_MULTI_BLOCK_POOL=1
export VLLM_ASCEND_ENABLE_FLASHCOMM1=1
export VLLM_ASCEND_ENABLE_FUSED_MC2=1
export ASCEND_RT_VISIBLE_DEVICES=$1
vllm serve /mnt/share/z00951268/results/dsv4-pro/DeepSeek-V4-Pro-w4a8-fixmtp \
  --host 0.0.0.0 \
  --port $2 \
  --data-parallel-size $3 \
  --data-parallel-rank $4 \
  --data-parallel-address $5 \
  --data-parallel-rpc-port $6 \
  --tensor-parallel-size $7 \
  --enable-expert-parallel \
  --seed 1024 \
  --served-model-name auto \
  --max-model-len 135000 \
  --max-num-batched-tokens 8192 \
  --max-num-seqs 16 \
  --no-disable-hybrid-kv-cache-manager \
  --tokenizer-mode deepseek_v4 \
  --tool-call-parser deepseek_v4 \
  --enable-auto-tool-choice \
  --reasoning-parser deepseek_v4 \
  --safetensors-load-strategy 'prefetch' \
  --trust-remote-code \
  --gpu-memory-utilization 0.9 \
  --quantization ascend \
  --block-size 128 \
  --enforce-eager \
  --additional_config '{"enable_cpu_binding": "True"}' \
  --kv-transfer-config \
  '{"kv_connector": "MooncakeHybridConnector",
  "kv_role": "kv_producer",
  "kv_port": "30100",
  "engine_id": "1",
  "kv_connector_extra_config": {
              "prefill": {
                      "dp_size": 2,
                      "tp_size": 16
              },
              "decode": {
                      "dp_size": 16,
                      "tp_size": 2
              }
      }
  }'
d:
unset ftp_proxy
unset https_proxy
unset http_proxy
rm -rf ~/ascend/log
nic_name="enp48s3u1u2"
local_ip=141.61.81.173
export HCCL_IF_IP=$local_ip
export GLOO_SOCKET_IFNAME=$nic_name
export TP_SOCKET_IFNAME=$nic_name
export HCCL_SOCKET_IFNAME=$nic_name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# export VLLM_ASCEND_ENABLE_FUSED_MC2=1 #
export OMP_PROC_BIND=false
export OMP_NUM_THREADS=10
export PYTORCH_NPU_ALLOC_CONF=expandable_segments:True
export HCCL_BUFFSIZE=1024
export TASK_QUEUE_ENABLE=1
export ASCEND_BUFFER_POOL=4:8
# export DYNAMIC_EPLB="true"
echo performance | tee /sys/devices/system/cpu/cpu*/cpufreq/scaling_governor
sysctl -w vm.swappiness=0
sysctl -w kernel.numa_balancing=0
sysctl kernel.sched_migration_cost_ns=50000
export USE_MULTI_GROUPS_KV_CACHE=1
export USE_MULTI_BLOCK_POOL=1
export VLLM_ASCEND_ENABLE_FUSED_MC2=1
export ASCEND_RT_VISIBLE_DEVICES=$1
vllm serve /mnt/share/z00951268/results/dsv4-pro/DeepSeek-V4-Pro-w4a8-fixmtp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135000 \
    --max-num-batched-tokens 120 \
    --max-num-seqs 60 \
    --async-scheduling \
    --block-size 128 \
    --tokenizer-mode deepseek_v4 \
    --tool-call-parser deepseek_v4 \
    --enable-auto-tool-choice \
    --reasoning-parser deepseek_v4 \
    --no-disable-hybrid-kv-cache-manager \
    --safetensors-load-strategy 'prefetch' \
    --trust-remote-code \
    --gpu-memory-utilization 0.9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"30800",
    "engine_id": "8",
    "kv_connector_extra_config": {
                "prefill": {
                        "dp_size": 2,
                        "tp_size": 16
                },
                "decode": {
                        "dp_size": 16,
                        "tp_size": 2
                }
        }
    }' \
    --additional-config '{
        "ascend_compilation_config":{
              "enable_npugraph_ex":true,
              "enable_static_kernel":false
        },
       "enable_cpu_binding":true,
       "multistream_overlap_shared_expert":false,
       "multistream_dsa_preprocess":false,
       "recompute_scheduler_enable":true
    }'
</t>
  </si>
  <si>
    <t xml:space="preserve">P:unset https_proxy
unset http_proxy
nic_name="enp48s3u1u2"
local_ip=141.61.81.151
export HCCL_IF_IP=$local_ip
export GLOO_SOCKET_IFNAME=$nic_name
export TP_SOCKET_IFNAME=$nic_name
export HCCL_SOCKET_IFNAME=$nic_name
export VLLM_RPC_TIMEOUT=3600000
export VLLM_EXECUTE_MODEL_TIMEOUT_SECONDS=30000
export HCCL_EXEC_TIMEOUT=204
export HCCL_CONNECT_TIMEOUT=6000
export OMP_PROC_BIND=false
export OMP_NUM_THREADS=10
export PYTORCH_NPU_ALLOC_CONF=expandable_segments:True
export HCCL_BUFFSIZE=1024
export TASK_QUEUE_ENABLE=1
echo performance | tee /sys/devices/system/cpu/cpu*/cpufreq/scaling_governor
sysctl -w vm.swappiness=0
sysctl -w kernel.numa_balancing=0
sysctl kernel.sched_migration_cost_ns=50000
export HCCL_OP_EXPANSION_MODE="AIV"
export VLLM_USE_V1=1
export ASCEND_BUFFER_POOL=4:8
# # jemalloc
export LD_PRELOAD=/usr/lib/aarch64-linux-gnu/libjemalloc.so.2:$LD_PRELOAD
export USE_MULTI_GROUPS_KV_CACHE=1
export USE_MULTI_BLOCK_POOL=1
export VLLM_ASCEND_ENABLE_FLASHCOMM1=1
export VLLM_ASCEND_ENABLE_FUSED_MC2=1
export ASCEND_RT_VISIBLE_DEVICES=$1
vllm serve /mnt/share/z00951268/results/dsv4-pro/DeepSeek-V4-Pro-w4a8-fixmtp \
  --host 0.0.0.0 \
  --port $2 \
  --data-parallel-size $3 \
  --data-parallel-rank $4 \
  --data-parallel-address $5 \
  --data-parallel-rpc-port $6 \
  --tensor-parallel-size $7 \
  --enable-expert-parallel \
  --seed 1024 \
  --served-model-name auto \
  --max-model-len 1048576 \
  --max-num-batched-tokens 2048 \
  --max-num-seqs 16 \
  --no-disable-hybrid-kv-cache-manager \
  --tokenizer-mode deepseek_v4 \
  --tool-call-parser deepseek_v4 \
  --enable-auto-tool-choice \
  --reasoning-parser deepseek_v4 \
  --safetensors-load-strategy 'prefetch' \
  --trust-remote-code \
  --gpu-memory-utilization 0.9 \
  --quantization ascend \
  --speculative-config '{"num_speculative_tokens": 1, "method":"deepseek_mtp"}' \
  --block-size 128 \
  --enforce-eager \
  --additional_config '{"enable_cpu_binding": "True"}' \
  --kv-transfer-config \
  '{"kv_connector": "MooncakeHybridConnector",
  "kv_role": "kv_producer",
  "kv_port": "30100",
  "engine_id": "1",
  "kv_connector_extra_config": {
              "prefill": {
                      "dp_size": 2,
                      "tp_size": 16
              },
              "decode": {
                      "dp_size": 2,
                      "tp_size": 16
              }
      }
  }'
D:unset ftp_proxy
unset https_proxy
unset http_proxy
rm -rf ~/ascend/log
nic_name="enp48s3u1u2"
local_ip=141.61.81.184
export HCCL_IF_IP=$local_ip
export GLOO_SOCKET_IFNAME=$nic_name
export TP_SOCKET_IFNAME=$nic_name
export HCCL_SOCKET_IFNAME=$nic_name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# export VLLM_ASCEND_ENABLE_FUSED_MC2=1 #
export OMP_PROC_BIND=false
export OMP_NUM_THREADS=10
export PYTORCH_NPU_ALLOC_CONF=expandable_segments:True
export HCCL_BUFFSIZE=1024
export TASK_QUEUE_ENABLE=1
export ASCEND_BUFFER_POOL=4:8
# export DYNAMIC_EPLB="true"
echo performance | tee /sys/devices/system/cpu/cpu*/cpufreq/scaling_governor
sysctl -w vm.swappiness=0
sysctl -w kernel.numa_balancing=0
sysctl kernel.sched_migration_cost_ns=50000
export USE_MULTI_GROUPS_KV_CACHE=1
export USE_MULTI_BLOCK_POOL=1
export VLLM_ASCEND_ENABLE_FUSED_MC2=1
export ASCEND_RT_VISIBLE_DEVICES=$1
vllm serve /mnt/share/z00951268/results/dsv4-pro/DeepSeek-V4-Pro-w4a8-fixmtp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auto \
    --max-model-len 1048576 \
    --max-num-batched-tokens 120 \
    --max-num-seqs 60 \
    --async-scheduling \
    --block-size 128 \
    --tokenizer-mode deepseek_v4 \
    --tool-call-parser deepseek_v4 \
    --enable-auto-tool-choice \
    --reasoning-parser deepseek_v4 \
    --no-disable-hybrid-kv-cache-manager \
    --safetensors-load-strategy 'prefetch' \
    --trust-remote-code \
    --gpu-memory-utilization 0.9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"30800",
    "engine_id": "8",
    "kv_connector_extra_config": {
                "prefill": {
                        "dp_size": 2,
                        "tp_size": 16
                },
                "decode": {
                        "dp_size": 2,
                        "tp_size": 16
                }
        }
    }' \
    --additional-config '{
        "ascend_compilation_config":{
              "enable_npugraph_ex":true,
              "enable_static_kernel":false
        },
       "enable_cpu_binding":true,
       "multistream_overlap_shared_expert":false,
       "multistream_dsa_preprocess":false,
       "recompute_scheduler_enable":true
    }' 
</t>
  </si>
  <si>
    <t xml:space="preserve">unset ftp_proxy
unset https_proxy
unset http_proxy
export HCCL_IF_IP=$(ifconfig | grep -B1 141 | grep 'inet ' | awk '{print $2}')
export GLOO_SOCKET_IFNAME=$(ifconfig -a | grep -B1 $HCCL_IF_IP | grep -v 'inet' | sed 's/://g' | awk '{print $1}')
export TP_SOCKET_IFNAME=$GLOO_SOCKET_IFNAME
export HCCL_SOCKET_IFNAME=$GLOO_SOCKET_IFNAME
export HCCL_OP_EXPANSION_MODE="AIV"
export HCCL_BUFFSIZE=2048
export PYTORCH_NPU_ALLOC_CONF=expandable_segments:True
export OMP_PROC_BIND=false
export OMP_NUM_THREADS=10
export TASK_QUEUE_ENABLE=1
export LD_PRELOAD=/usr/lib/aarch64-linux-gnu/libjemalloc.so.2:$LD_PRELOAD
echo performance | tee /sys/devices/system/cpu/cpu*/cpufreq/scaling_governor
sysctl -w vm.swappiness=0
sysctl -w kernel.numa_balancing=0
sysctl kernel.sched_migration_cost_ns=50000
export HCCL_CONNECT_TIMEOUT=7200
export ASCEND_CONNECT_TIMEOUT=10000
export ASCEND_TRANSFER_TIMEOUT=10000
export VLLM_RPC_TIMEOUT=1800000 # 毫秒，约 30 分钟
#export VLLM_ENGINE_ITERATION_TIMEOUT_S=180 # 秒
export ASCEND_BUFFER_POOL=4:8    # 池化，暂未生效
export USE_MULTI_GROUPS_KV_CACHE=1    # V2
export USE_MULTI_BLOCK_POOL=1     # V1/V3
export VLLM_VERSION=0.18.0
export VLLM_USE_V1=1
export VLLM_ASCEND_ENABLE_FLASHCOMM1=1
export VLLM_ASCEND_ENABLE_FUSED_MC2=1
vllm serve /mnt/share/z00951268/results/dsv4-pro/DeepSeek-V4-Pro-w4a8-fixmtp \
  --safetensors-load-strategy 'prefetch' \
  --max_model_len 135000  \
  --max-num-batched-tokens 2048 \
  --served-model-name dsv4 \
  --gpu-memory-utilization 0.9 \
  --max-num-seqs 16 \
  --data-parallel-size 2 \
  --data-parallel-size-local 1 \
  --data-parallel-start-rank 0 \
  --data-parallel-address 141.61.81.34 \
  --data-parallel-rpc-port 13399 \
  --tensor-parallel-size 16 \
  --enable-expert-parallel \
  --quantization ascend \
  --port 8900 \
  --host 0.0.0.0 \
  --block-size 128 \
  --async-scheduling \
  --compilation-config '{"cudagraph_mode":"FULL_DECODE_ONLY"}' \
  --tokenizer-mode deepseek_v4 \
  --tool-call-parser deepseek_v4 \
  --enable-auto-tool-choice \
  --reasoning-parser deepseek_v4 \
  --speculative-config '{"num_speculative_tokens": 1, "method":"deepseek_mtp"}' \
  --additional-config '{"enable_cpu_binding": "true", "ascend_compilation_config":{"enable_npugraph_ex":true,"enable_static_kernel":false}}' \
  --api-server-count 1 \
  2&gt;&amp;1 | tee hellomodel.log
</t>
    <phoneticPr fontId="12" type="noConversion"/>
  </si>
  <si>
    <t>主节点：
export HCCL_IF_IP=80.48.37.161
export IFNAME="enp67s0f0np0"
export GLOO_SOCKET_IFNAME="$IFNAME"
export TP_SOCKET_IFNAME="$IFNAME"
export HCCL_SOCKET_IFNAME="$IFNAME"
export HCCL_BUFFSIZE=512
export ASCEND_RT_VISIBLE_DEVICES=0,1,2,3,4,5,6,7
export OMP_PROC_BIND=false
export OMP_NUM_THREADS=10
export PYTORCH_NPU_ALLOC_CONF=expandable_segments:True
export ACL_OP_INIT_MODE=1
export VLLM_ENGINE_READY_TIMEOUT_S=3600
export HCCL_OP_EXPANSION_MODE="AIV"
export USE_MULTI_BLOCK_POOL=1
export USE_MULTI_GROUPS_KV_CACHE=1
export ASCEND_BUFFER_POOL=0:0
export TASK_QUEUE_ENABLE=1
#export DYNAMIC_EPLB=true
export VLLM_ASCEND_ENABLE_FLASHCOMM1=1
export LD_PRELOAD=/usr/lib/aarch64-linux-gnu/libjemalloc.so.2:$LD_PRELOAD
echo performance | tee /sys/devices/system/cpu/cpu*/cpufreq/scaling_governor
sysctl -w vm.swappiness=0
sysctl -w kernel.numa_balancing=0
sysctl kernel.sched_migration_cost_ns=50000
vllm serve /mnt/share/weight/DeepSeek-V4-Pro-w4a8-fixmtp/ \
  --host 0.0.0.0 \
  --port 10010 \
  --max_model_len 133072 \
  --max-num-batched-tokens 4096 \
  --served-model-name ds-v4 \
  --gpu-memory-utilization 0.9 \
  --max-num-seqs 4 \
  --data-parallel-size 4 \
  --tensor-parallel-size 8 \
  --data-parallel-size-local 1 \
  --data-parallel-start-rank 0 \
  --data-parallel-address 80.48.37.161 \
  --enable-expert-parallel \
  --quantization ascend \
  --enable-chunked-prefill \
  --no-enable-prefix-caching \
  --tokenizer-mode deepseek_v4 \
  --tool-call-parser deepseek_v4 \
  --enable-auto-tool-choice \
  --reasoning-parser deepseek_v4 \
  --async-scheduling \
  --safetensors-load-strategy 'prefetch' \
  --default-chat-template-kwargs '{"thinking": true}' \
  --profiler-config '{"profiler": "torch", "torch_profiler_dir": "/mnt/share/d00656702/profiling", "torch_profiler_with_stack": false}' \
  --speculative-config '{"num_speculative_tokens": 1,"method": "mtp"}' \
  --additional-config '{"ascend_compilation_config":{"enable_npugraph_ex":true,"enable_static_kernel":false},"enable_cpu_binding":"True"}' \
  --compilation-config '{"cudagraph_mode":"FULL_DECODE_ONLY"}' &gt; output.log 2&gt;&amp;1 &amp;
从节点：
export HCCL_IF_IP=80.48.37.162
export IFNAME="enp67s0f0np0"
export GLOO_SOCKET_IFNAME="$IFNAME"
export TP_SOCKET_IFNAME="$IFNAME"
export HCCL_SOCKET_IFNAME="$IFNAME"
export HCCL_BUFFSIZE=512
export ASCEND_RT_VISIBLE_DEVICES=0,1,2,3,4,5,6,7
export OMP_PROC_BIND=false
export OMP_NUM_THREADS=10
export PYTORCH_NPU_ALLOC_CONF=expandable_segments:True
export ACL_OP_INIT_MODE=1
export VLLM_ENGINE_READY_TIMEOUT_S=3600
export HCCL_OP_EXPANSION_MODE="AIV"
export USE_MULTI_BLOCK_POOL=1
export USE_MULTI_GROUPS_KV_CACHE=1
export ASCEND_BUFFER_POOL=0:0
export TASK_QUEUE_ENABLE=1
#export DYNAMIC_EPLB=true
export VLLM_ASCEND_ENABLE_FLASHCOMM1=1
export LD_PRELOAD=/usr/lib/aarch64-linux-gnu/libjemalloc.so.2:$LD_PRELOAD
echo performance | tee /sys/devices/system/cpu/cpu*/cpufreq/scaling_governor
sysctl -w vm.swappiness=0
sysctl -w kernel.numa_balancing=0
sysctl kernel.sched_migration_cost_ns=50000
vllm serve /mnt/share/weight/DeepSeek-V4-Pro-w4a8-fixmtp/ \
  --host 0.0.0.0 \
  --port 10010 \
  --headless \
  --max_model_len 133072 \
  --max-num-batched-tokens 4096 \
  --served-model-name ds-v4 \
  --gpu-memory-utilization 0.9 \
  --max-num-seqs 4 \
  --data-parallel-size 4 \
  --tensor-parallel-size 8 \
  --data-parallel-size-local 1 \
  --data-parallel-start-rank 1 \
  --data-parallel-address 80.48.37.161 \
  --enable-expert-parallel \
  --quantization ascend \
  --enable-chunked-prefill \
  --no-enable-prefix-caching \
  --async-scheduling \
  --tokenizer-mode deepseek_v4 \
  --tool-call-parser deepseek_v4 \
  --enable-auto-tool-choice \
  --reasoning-parser deepseek_v4 \
  --safetensors-load-strategy 'prefetch' \
  --default-chat-template-kwargs '{"thinking": true}' \
  --speculative-config '{"num_speculative_tokens": 1,"method": "mtp"}' \
  --profiler-config '{"profiler": "torch", "torch_profiler_dir": "/mnt/share/d00656702/profiling", "torch_profiler_with_stack": false}' \
  --additional-config '{"ascend_compilation_config":{"enable_npugraph_ex":true,"enable_static_kernel":false},"enable_cpu_binding":"True"}' \
  --compilation-config '{"cudagraph_mode":"FULL_DECODE_ONLY"}' &gt; output.log 2&gt;&amp;1 &amp;</t>
  </si>
  <si>
    <t>主节点：
export HCCL_IF_IP=71.10.29.113
export IFNAME="enp67s0f0np0"
export GLOO_SOCKET_IFNAME="$IFNAME"
export TP_SOCKET_IFNAME="$IFNAME"
export HCCL_SOCKET_IFNAME="$IFNAME"
export HCCL_BUFFSIZE=512
export ASCEND_RT_VISIBLE_DEVICES=0,1,2,3,4,5,6,7
export OMP_PROC_BIND=false
export OMP_NUM_THREADS=10
export PYTORCH_NPU_ALLOC_CONF=expandable_segments:True
export ACL_OP_INIT_MODE=1
export VLLM_ENGINE_READY_TIMEOUT_S=3600
export HCCL_OP_EXPANSION_MODE="AIV"
export USE_MULTI_BLOCK_POOL=1
export USE_MULTI_GROUPS_KV_CACHE=1
export ASCEND_BUFFER_POOL=0:0
export TASK_QUEUE_ENABLE=1
#export DYNAMIC_EPLB=true
export VLLM_ASCEND_ENABLE_FLASHCOMM1=1
vllm serve /home/t00446321/images/DeepSeek-V4-Pro-w4a8-fixmtp/ \
  --host 0.0.0.0 \
  --port 10010 \
  --max_model_len 1048576 \
  --max-num-batched-tokens 4096 \
  --served-model-name ds \
  --gpu-memory-utilization 0.9 \
  --max-num-seqs 4 \
  --data-parallel-size 4 \
  --tensor-parallel-size 8 \
  --data-parallel-size-local 1 \
  --data-parallel-start-rank 0 \
  --data-parallel-address 71.10.29.113 \
  --enable-expert-parallel \
  --quantization ascend \
  --enable-chunked-prefill \
  --enable-prefix-caching \
  --tokenizer-mode deepseek_v4 \
  --tool-call-parser deepseek_v4 \
  --enable-auto-tool-choice \
  --reasoning-parser deepseek_v4 \
  --async-scheduling \
  --safetensors-load-strategy 'prefetch' \
  --default-chat-template-kwargs '{"thinking": true}' \
  --profiler-config '{"profiler": "torch", "torch_profiler_dir": "/home/t00446321/images/t00446321/profiling", "torch_profiler_with_stack": false}' \
  --speculative-config '{"num_speculative_tokens": 1,"method": "mtp"}' \
  --additional-config '{"ascend_compilation_config":{"enable_npugraph_ex":true,"enable_static_kernel":false},"enable_cpu_binding":"True"}' \
  --compilation-config '{"cudagraph_mode":"FULL_DECODE_ONLY"}' &gt; logs/output_113_master.log 2&gt;&amp;1 &amp;
 从节点：
 export HCCL_IF_IP=71.10.29.115
export IFNAME="enp67s0f0np0"
export GLOO_SOCKET_IFNAME="$IFNAME"
export TP_SOCKET_IFNAME="$IFNAME"
export HCCL_SOCKET_IFNAME="$IFNAME"
export HCCL_BUFFSIZE=512
export ASCEND_RT_VISIBLE_DEVICES=0,1,2,3,4,5,6,7
export OMP_PROC_BIND=false
export OMP_NUM_THREADS=10
export PYTORCH_NPU_ALLOC_CONF=expandable_segments:True
export ACL_OP_INIT_MODE=1
export VLLM_ENGINE_READY_TIMEOUT_S=3600
export HCCL_OP_EXPANSION_MODE="AIV"
export USE_MULTI_BLOCK_POOL=1
export USE_MULTI_GROUPS_KV_CACHE=1
export ASCEND_BUFFER_POOL=0:0
export TASK_QUEUE_ENABLE=1
#export DYNAMIC_EPLB=true
export VLLM_ASCEND_ENABLE_FLASHCOMM1=1
vllm serve /home/t00446321/images/DeepSeek-V4-Pro-w4a8-fixmtp/ \
  --host 0.0.0.0 \
  --port 10010 \
  --headless \
  --max_model_len 1048576 \
  --max-num-batched-tokens 4096 \
  --served-model-name ds \
  --gpu-memory-utilization 0.9 \
  --max-num-seqs 4 \
  --data-parallel-size 4 \
  --tensor-parallel-size 8 \
  --data-parallel-size-local 1 \
  --data-parallel-start-rank 1 \
  --data-parallel-address 71.10.29.113 \
  --enable-expert-parallel \
  --quantization ascend \
  --enable-chunked-prefill \
  --enable-prefix-caching \
  --async-scheduling \
  --tokenizer-mode deepseek_v4 \
  --tool-call-parser deepseek_v4 \
  --enable-auto-tool-choice \
  --reasoning-parser deepseek_v4 \
  --safetensors-load-strategy 'prefetch' \
  --default-chat-template-kwargs '{"thinking": true}' \
  --speculative-config '{"num_speculative_tokens": 1,"method": "mtp"}' \
  --profiler-config '{"profiler": "torch", "torch_profiler_dir": "/home/t00446321/images/t00446321/profiling", "torch_profiler_with_stack": false}' \
  --additional-config '{"ascend_compilation_config":{"enable_npugraph_ex":true,"enable_static_kernel":false},"enable_cpu_binding":"True"}' \
  --compilation-config '{"cudagraph_mode":"FULL_DECODE_ONLY"}' &gt; logs/output_115.log 2&gt;&amp;1 &amp;</t>
  </si>
  <si>
    <t>P：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--max_model_len 133072 \
    --max-num-batched-tokens 8192 \
    --max-num-seqs 128 \
    --no-disable-hybrid-kv-cache-manager \
    --trust-remote-code \
    --gpu-memory-utilization 0.95 \
    --quantization ascend \
    --safetensors-load-strategy 'prefetch' \
    --tokenizer-mode deepseek_v4 \
    --tool-call-parser deepseek_v4 \
    --enable-auto-tool-choice \
    --reasoning-parser deepseek_v4 \
    --enforce-eager \
    --default-chat-template-kwargs '{"thinking": true}' \
    --no-enable-prefix-caching \
    --profiler-config '{"profiler": "torch", "torch_profiler_dir": "/mnt/share/d00656702/profiling", "torch_profiler_with_stack": false}' \
    --additional_config '{"enable_cpu_binding": "True"}' \
    --kv-transfer-config \
    '{"kv_connector": "MooncakeHybridConnector",
    "kv_role": "kv_producer",
    "kv_port": "30000",
    "engine_id": "0",
    "kv_connector_module_path": "vllm_ascend.distributed.mooncake_connector",
    "kv_connector_extra_config": {
              "prefill": {
                      "dp_size": 4,
                      "tp_size": 8
               },
               "decode": {
                      "dp_size": 8,
                      "tp_size": 4
               }
        }
    }'
D：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133072 \
    --max-num-batched-tokens 256 \
    --max-num-seqs 128 \
    --async-scheduling \
    --no-disable-hybrid-kv-cache-manager \
    --trust-remote-code \
    --gpu-memory-utilization 0.92 \
    --quantization ascend \
    --tokenizer-mode deepseek_v4 \
    --tool-call-parser deepseek_v4 \
    --enable-auto-tool-choice \
    --reasoning-parser deepseek_v4 \
    --safetensors-load-strategy 'prefetch' \
    --default-chat-template-kwargs '{"thinking": true}' \
    --no-enable-prefix-caching \
    --profiler-config '{"profiler": "torch", "torch_profiler_dir": "/mnt/share/d00656702/profiling",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"30100",
    "engine_id": "1",
    "kv_connector_module_path": "vllm_ascend.distributed.mooncake_connector",
    "kv_connector_extra_config": {
                "prefill": {
                        "dp_size": 4,
                        "tp_size": 8
                },
                "decode": {
                        "dp_size": 8,
                        "tp_size": 4
                }
        }
    }' \
    --additional_config '{"enable_cpu_binding": "True","multistream_overlap_shared_expert": false,"multistream_dsa_preprocess": false,"recompute_scheduler_enable":true,"eplb_config":{"dynamic_eplb":false,"expert_heat_collection_interval":600,"algorithm_execution_interval":50, "eplb_policy_type":2, "num_redundant_experts":32}}'</t>
  </si>
  <si>
    <t>P：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--max_model_len 1024000 \
    --max-num-batched-tokens 8192 \
    --max-num-seqs 128 \
    --no-disable-hybrid-kv-cache-manager \
    --trust-remote-code \
    --gpu-memory-utilization 0.95 \
    --quantization ascend \
    --safetensors-load-strategy 'prefetch' \
    --tokenizer-mode deepseek_v4 \
    --tool-call-parser deepseek_v4 \
    --enable-auto-tool-choice \
    --reasoning-parser deepseek_v4 \
    --enforce-eager \
    --default-chat-template-kwargs '{"thinking": true}' \
    --enable-prefix-caching \
    --profiler-config '{"profiler": "torch", "torch_profiler_dir": "/mnt/share/d00656702/profiling", "torch_profiler_with_stack": false}' \
    --additional_config '{"enable_cpu_binding": "True"}' \
    --kv-transfer-config \
    '{"kv_connector": "MooncakeHybridConnector",
    "kv_role": "kv_producer",
    "kv_port": "30000",
    "engine_id": "0",
    "kv_connector_module_path": "vllm_ascend.distributed.mooncake_connector",
    "kv_connector_extra_config": {
              "prefill": {
                      "dp_size": 4,
                      "tp_size": 8
               },
               "decode": {
                      "dp_size": 8,
                      "tp_size": 4
               }
        }
    }'
D：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1024000 \
    --max-num-batched-tokens 256 \
    --max-num-seqs 128 \
    --async-scheduling \
    --no-disable-hybrid-kv-cache-manager \
    --trust-remote-code \
    --gpu-memory-utilization 0.92 \
    --quantization ascend \
    --tokenizer-mode deepseek_v4 \
    --tool-call-parser deepseek_v4 \
    --enable-auto-tool-choice \
    --reasoning-parser deepseek_v4 \
    --safetensors-load-strategy 'prefetch' \
    --default-chat-template-kwargs '{"thinking": true}' \
    --enable-prefix-caching \
    --profiler-config '{"profiler": "torch", "torch_profiler_dir": "/mnt/share/d00656702/profiling",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"30100",
    "engine_id": "1",
    "kv_connector_module_path": "vllm_ascend.distributed.mooncake_connector",
    "kv_connector_extra_config": {
                "prefill": {
                        "dp_size": 4,
                        "tp_size": 8
                },
                "decode": {
                        "dp_size": 8,
                        "tp_size": 4
                }
        }
    }' \
    --additional_config '{"enable_cpu_binding": "True","multistream_overlap_shared_expert": false,"multistream_dsa_preprocess": false,"recompute_scheduler_enable":true,"eplb_config":{"dynamic_eplb":false,"expert_heat_collection_interval":600,"algorithm_execution_interval":50, "eplb_policy_type":2, "num_redundant_experts":32}}'</t>
    <phoneticPr fontId="1" type="noConversion"/>
  </si>
  <si>
    <t>P：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--max_model_len 133072 \
    --max-num-batched-tokens 8192 \
    --max-num-seqs 128 \
    --no-disable-hybrid-kv-cache-manager \
    --trust-remote-code \
    --gpu-memory-utilization 0.95 \
    --quantization ascend \
    --safetensors-load-strategy 'prefetch' \
    --tokenizer-mode deepseek_v4 \
    --tool-call-parser deepseek_v4 \
    --enable-auto-tool-choice \
    --reasoning-parser deepseek_v4 \
    --enforce-eager \
    --default-chat-template-kwargs '{"thinking": true}' \
    --no-enable-prefix-caching \
    --profiler-config '{"profiler": "torch", "torch_profiler_dir": "/mnt/share/d00656702/profiling", "torch_profiler_with_stack": false}' \
    --additional_config '{"enable_cpu_binding": "True"}' \
    --kv-transfer-config \
    '{"kv_connector": "MooncakeHybridConnector",
    "kv_role": "kv_producer",
    "kv_port": "30000",
    "engine_id": "0",
    "kv_connector_module_path": "vllm_ascend.distributed.mooncake_connector",
    "kv_connector_extra_config": {
              "prefill": {
                      "dp_size": 4,
                      "tp_size": 8
               },
               "decode": {
                      "dp_size": 8,
                      "tp_size": 4
               }
        }
    }'
D：
unset ftp_proxy
unset https_proxy
unset http_proxy
rm -rf ~/ascend/log
nic_name="enp67s0f0np0"
local_ip=`hostname -I|awk -F " " '{print$1}'`
echo $local_ip
# # jemalloc
export LD_PRELOAD=/usr/lib/aarch64-linux-gnu/libjemalloc.so.2:$LD_PRELOAD
# # AIV
export HCCL_OP_EXPANSION_MODE="AIV"
export TASK_QUEUE_ENABLE=1
export VLLM_RPC_TIMEOUT=3600000
export VLLM_EXECUTE_MODEL_TIMEOUT_SECONDS=30000
export HCCL_EXEC_TIMEOUT=2000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ASCEND_BUFFER_POOL=4:8
export USE_MULTI_GROUPS_KV_CACHE=1
export USE_MULTI_BLOCK_POOL=1
export VLLM_USE_V1=1
export VLLM_ASCEND_ENABLE_FLASHCOMM1=1
export ASCEND_RT_VISIBLE_DEVICES=$1
#export DYNAMIC_EPLB="true"
vllm serve /mnt/share/weight/DeepSeek-V4-Pro-w4a8-fixmtp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133072 \
    --max-num-batched-tokens 256 \
    --max-num-seqs 128 \
    --async-scheduling \
    --no-disable-hybrid-kv-cache-manager \
    --trust-remote-code \
    --gpu-memory-utilization 0.92 \
    --quantization ascend \
    --tokenizer-mode deepseek_v4 \
    --tool-call-parser deepseek_v4 \
    --enable-auto-tool-choice \
    --reasoning-parser deepseek_v4 \
    --safetensors-load-strategy 'prefetch' \
    --default-chat-template-kwargs '{"thinking": true}' \
    --no-enable-prefix-caching \
    --profiler-config '{"profiler": "torch", "torch_profiler_dir": "/mnt/share/d00656702/profiling", "torch_profiler_with_stack": false}' \
    --speculative-config '{"num_speculative_tokens": 1, "method":"deepseek_mtp"}' \
    --compilation-config '{"cudagraph_mode": "FULL_DECODE_ONLY"}' \
    --kv-transfer-config \
    '{"kv_connector": "MooncakeHybridConnector",
    "kv_role": "kv_consumer",
    "kv_port": "30100",
    "engine_id": "1",
    "kv_connector_module_path": "vllm_ascend.distributed.mooncake_connector",
    "kv_connector_extra_config": {
                "prefill": {
                        "dp_size": 4,
                        "tp_size": 8
                },
                "decode": {
                        "dp_size": 8,
                        "tp_size": 4
                }
        }
    }' \
    --additional_config '{"enable_cpu_binding": "True","multistream_overlap_shared_expert": false,"multistream_dsa_preprocess": false,"recompute_scheduler_enable":true,"eplb_config":{"dynamic_eplb":false,"expert_heat_collection_interval":600,"algorithm_execution_interval":50, "eplb_policy_type":2, "num_redundant_experts":32}}'</t>
    <phoneticPr fontId="1" type="noConversion"/>
  </si>
  <si>
    <t xml:space="preserve">#!/usr/bin/bash
export LD_PRELOAD=/usr/lib/aarch64-linux-gnu/libjemalloc.so.2:$LD_PRELOAD
export OMP_PROC_BIND=false
export OMP_NUM_THREADS=10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/mnt/nfs_hw/weight/v4_w8a8_from_bf16_on_a3 \
  --safetensors-load-strategy 'prefetch' \
  --max-model-len 10240 \
  --max-num-batched-tokens 10240 \
  --served-model-name ds \
  --gpu-memory-utilization 0.9 \
  --max-num-seqs 32 \
  --data-parallel-size 1 \
  --tensor-parallel-size 8 \
  --enable-expert-parallel \
  --quantization ascend \
  --port 7000 \
  --block-size 128 \
  --enable-chunked-prefill \
  --no-enable-prefix-caching \
  --tokenizer-mode deepseek_v4 \
  --tool-call-parser deepseek_v4 \
  --enable-auto-tool-choice \
  --reasoning-parser deepseek_v4 \
  --async-scheduling \
  --additional-config '{
    "ascend_compilation_config":{
        "enable_npugraph_ex":true,
        "enable_static_kernel":false
      },
    "enable_cpu_binding": "true",
    "multistream_overlap_shared_expert":false,
    "multistream_dsa_preprocess":false
  }' \
  --compilation-config '{
    "cudagraph_mode":"FULL_DECODE_ONLY"
  }' \
  --speculative-config '{
    "num_speculative_tokens": 1,
    "method": "mtp"
  }' </t>
    <phoneticPr fontId="1" type="noConversion"/>
  </si>
  <si>
    <t xml:space="preserve">#!/usr/bin/bash
export LD_PRELOAD=/usr/lib/aarch64-linux-gnu/libjemalloc.so.2:$LD_PRELOAD
export OMP_PROC_BIND=false
export OMP_NUM_THREADS=10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/mnt/nfs_hw/weight/v4_w8a8_from_bf16_on_a3 \
  --safetensors-load-strategy 'prefetch' \
  --max-model-len 133120 \
  --max-num-batched-tokens 8192 \
  --served-model-name ds \
  --gpu-memory-utilization 0.9 \
  --max-num-seqs 16 \
  --data-parallel-size 1 \
  --tensor-parallel-size 8 \
  --enable-expert-parallel \
  --quantization ascend \
  --port 7000 \
  --block-size 128 \
  --enable-chunked-prefill \
  --no-enable-prefix-caching \
  --tokenizer-mode deepseek_v4 \
  --tool-call-parser deepseek_v4 \
  --enable-auto-tool-choice \
  --reasoning-parser deepseek_v4 \
  --async-scheduling \
  --additional-config '{
    "ascend_compilation_config":{
        "enable_npugraph_ex":true,
        "enable_static_kernel":false
      },
    "enable_cpu_binding": "true",
    "multistream_overlap_shared_expert":false,
    "multistream_dsa_preprocess":false
  }' \
  --compilation-config '{
    "cudagraph_mode":"FULL_DECODE_ONLY"
  }' \
  --speculative-config '{
    "num_speculative_tokens": 1,
    "method": "mtp"
  }' </t>
    <phoneticPr fontId="1" type="noConversion"/>
  </si>
  <si>
    <t xml:space="preserve">#!/usr/bin/bash
export LD_PRELOAD=/usr/lib/aarch64-linux-gnu/libjemalloc.so.2:$LD_PRELOAD
export OMP_PROC_BIND=false
export OMP_NUM_THREADS=10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/mnt/nfs_hw/weight/v4_w8a8_from_bf16_on_a3 \
  --safetensors-load-strategy 'prefetch' \
  --max-model-len 133120 \
  --max-num-batched-tokens 8192 \
  --served-model-name ds \
  --gpu-memory-utilization 0.9 \
  --max-num-seqs 16 \
  --data-parallel-size 1 \
  --tensor-parallel-size 8 \
  --enable-expert-parallel \
  --quantization ascend \
  --port 7000 \
  --block-size 128 \
  --enable-chunked-prefill \
  --tokenizer-mode deepseek_v4 \
  --tool-call-parser deepseek_v4 \
  --enable-auto-tool-choice \
  --reasoning-parser deepseek_v4 \
  --async-scheduling \
  --enable-prefix-caching \
  --additional-config '{
    "ascend_compilation_config":{
        "enable_npugraph_ex":true,
        "enable_static_kernel":false
      },
    "enable_cpu_binding": "true",
    "multistream_overlap_shared_expert":false,
    "multistream_dsa_preprocess":false
  }' \
  --compilation-config '{
    "cudagraph_mode":"FULL_DECODE_ONLY"
  }' \
  --speculative-config '{
    "num_speculative_tokens": 1,
    "method": "mtp"
  }' </t>
    <phoneticPr fontId="1" type="noConversion"/>
  </si>
  <si>
    <t xml:space="preserve">#!/usr/bin/bash
export LD_PRELOAD=/usr/lib/aarch64-linux-gnu/libjemalloc.so.2:$LD_PRELOAD
export OMP_PROC_BIND=false
export OMP_NUM_THREADS=10
export PYTORCH_NPU_ALLOC_CONF=expandable_segments:True
export ACL_OP_INIT_MODE=1
export VLLM_ASCEND_ENABLE_FLASHCOMM1=1
export USE_MULTI_GROUPS_KV_CACHE=1
export TASK_QUEUE_ENABLE=1
export HCCL_OP_EXPANSION_MODE="AIV"
export HCCL_BUFFSIZE=512
export USE_MULTI_BLOCK_POOL=1
sysctl -w vm.swappiness=0
sysctl -w kernel.numa_balancing=0
sysctl kernel.sched_migration_cost_ns=50000
vllm serve /mnt/nfs_hw/weight/v4_w8a8_from_bf16_on_a3 \
  --safetensors-load-strategy 'prefetch' \
  --max-model-len 1048576 \
  --max-num-batched-tokens 4096 \
  --served-model-name ds \
  --gpu-memory-utilization 0.9 \
  --max-num-seqs 1 \
  --data-parallel-size 1 \
  --tensor-parallel-size 8 \
  --enable-expert-parallel \
  --quantization ascend \
  --port 7000 \
  --block-size 128 \
  --enable-chunked-prefill \
  --tokenizer-mode deepseek_v4 \
  --tool-call-parser deepseek_v4 \
  --enable-auto-tool-choice \
  --reasoning-parser deepseek_v4 \
  --async-scheduling \
  --enable-prefix-caching \
  --additional-config '{
    "ascend_compilation_config":{
        "enable_npugraph_ex":true,
        "enable_static_kernel":false
      },
    "enable_cpu_binding": "true",
    "multistream_overlap_shared_expert":false,
    "multistream_dsa_preprocess":false
  }' \
  --compilation-config '{
    "cudagraph_mode":"FULL_DECODE_ONLY",
    "cudagraph_capture_sizes":[8]
  }' \
  --speculative-config '{
    "num_speculative_tokens": 1,
    "method": "mtp"
  }' </t>
    <phoneticPr fontId="1" type="noConversion"/>
  </si>
  <si>
    <t xml:space="preserve">P节点：
unset ftp_proxy
unset https_proxy
unset http_proxy
rm -rf ~/ascend/log
nic_name="XXXXXX" #eg."enp67s0f0np0"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135000 \
    --max-num-batched-tokens 8192 \
    --max-num-seqs 16 \
    --enforce-eager \
    --async-scheduling \
    --no-disable-hybrid-kv-cache-manager \
    --no-enable-prefix-caching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--additional-config '{"enable_cpu_binding":"True"}' \
    --compilation-config '{"cudagraph_mode": "FULL_DECODE_ONLY"}' \
    --kv-transfer-config \
    '{"kv_connector": "MooncakeHybridConnector",
    "kv_role": "kv_producer",
    "kv_port": "30000",
    "engine_id": "0",
    "kv_connector_extra_config": {
                "prefill": {
                        "dp_size": 8,
                        "tp_size": 1
                },
                "decode": {
                        "dp_size": 32,
                        "tp_size": 1
                }
        }
    }'
D节点:
unset ftp_proxy
unset https_proxy
unset http_proxy
rm -rf ~/ascend/log
nic_name="XXXXX":#eg 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135000 \
    --max-num-batched-tokens 60 \
    --max-num-seqs 30 \
    --async-scheduling \
    --no-disable-hybrid-kv-cache-manager \
    --no-enable-prefix-caching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"30400",
    "engine_id": "4",
    "kv_connector_extra_config": {
                "prefill": {
                        "dp_size": 8,
                        "tp_size": 1
                },
                "decode": {
                        "dp_size": 32,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"dynamic_eplb":false,
              "expert_heat_collection_interval":600,
              "algorithm_execution_interval":50,
              "eplb_policy_type":2,
              "num_redundant_experts":32
       },
       "enable_cpu_binding":true,
       "multistream_overlap_shared_expert":false,
       "multistream_dsa_preprocess":false,
       "recompute_scheduler_enable":true 
    }' </t>
    <phoneticPr fontId="1" type="noConversion"/>
  </si>
  <si>
    <t xml:space="preserve">P节点：
unset ftp_proxy
unset https_proxy
unset http_proxy
rm -rf ~/ascend/log
nic_name="XXXXXX" #eg."enp67s0f0np0"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135000 \
    --max-num-batched-tokens 8192 \
    --max-num-seqs 16 \
    --enforce-eager \
    --async-scheduling \
    --no-disable-hybrid-kv-cache-manager \
    --enable-prefix-caching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--additional-config '{"enable_cpu_binding":"True"}' \
    --compilation-config '{"cudagraph_mode": "FULL_DECODE_ONLY"}' \
    --kv-transfer-config \
    '{"kv_connector": "MooncakeHybridConnector",
    "kv_role": "kv_producer",
    "kv_port": "30000",
    "engine_id": "0",
    "kv_connector_extra_config": {
                "prefill": {
                        "dp_size": 8,
                        "tp_size": 1
                },
                "decode": {
                        "dp_size": 32,
                        "tp_size": 1
                }
        }
    }'
D节点:
unset ftp_proxy
unset https_proxy
unset http_proxy
rm -rf ~/ascend/log
nic_name="XXXXX":#eg 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135000 \
    --max-num-batched-tokens 60 \
    --max-num-seqs 30 \
    --async-scheduling \
    --no-disable-hybrid-kv-cache-manager \
    --enable-prefix-caching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"30400",
    "engine_id": "4",
    "kv_connector_extra_config": {
                "prefill": {
                        "dp_size": 8,
                        "tp_size": 1
                },
                "decode": {
                        "dp_size": 32,
                        "tp_size": 1
                }
        }
    }' \
    --additional-config '{
        "ascend_compilation_config":{
              "enable_npugraph_ex":true,
              "enable_static_kernel":false
        },
        "eplb_config":{
              "dynamic_eplb":false,
              "expert_heat_collection_interval":600,
              "algorithm_execution_interval":50,
              "eplb_policy_type":2,
              "num_redundant_experts":32
       },
       "enable_cpu_binding":true,
       "multistream_overlap_shared_expert":false,
       "multistream_dsa_preprocess":false,
       "recompute_scheduler_enable":true 
    }' </t>
    <phoneticPr fontId="1" type="noConversion"/>
  </si>
  <si>
    <t>P节点：
unset ftp_proxy
unset https_proxy
unset http_proxy
rm -rf ~/ascend/log
nic_name="enp67s0f0np0"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1048576 \
    --max-num-batched-tokens 8192 \
    --max-num-seqs 8 \
    --enforce-eager \
    --async-scheduling \
    --no-disable-hybrid-kv-cache-manager \
    --enable-prefix-caching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--additional-config '{"enable_cpu_binding":"True"}' \
    --compilation-config '{"cudagraph_mode": "FULL_DECODE_ONLY"}' \
    --kv-transfer-config \
    '{"kv_connector": "MooncakeHybridConnector",
    "kv_role": "kv_producer",
    "kv_port": "30000",
    "engine_id": "0",
    "kv_connector_extra_config": {
                "prefill": {
                        "dp_size": 4,
                        "tp_size": 8
                },
                "decode": {
                        "dp_size": 4,
                        "tp_size": 8
                }
        }
    }'
D节点:
unset ftp_proxy
unset https_proxy
unset http_proxy
rm -rf ~/ascend/log
nic_name="enp67s0f0np0"
local_ip=`hostname -I|awk -F " " '{print$1}'`
# # jemalloc
export LD_PRELOAD=/usr/lib/aarch64-linux-gnu/libjemalloc.so.2:$LD_PRELOAD
# # AIV
export HCCL_OP_EXPANSION_MODE="AIV"
export TASK_QUEUE_ENABLE=1
export VLLM_RPC_TIMEOUT=3600000
export VLLM_EXECUTE_MODEL_TIMEOUT_SECONDS=30000
export HCCL_EXEC_TIMEOUT=204
export HCCL_CONNECT_TIMEOUT=1200
export HCCL_IF_IP=$local_ip
export GLOO_SOCKET_IFNAME=$nic_name
export TP_SOCKET_IFNAME=$nic_name
export HCCL_SOCKET_IFNAME=$nic_name
export OMP_PROC_BIND=false
export OMP_NUM_THREADS=10
export PYTORCH_NPU_ALLOC_CONF=expandable_segments:True
export HCCL_BUFFSIZE=1024
export USE_MULTI_GROUPS_KV_CACHE=1
export USE_MULTI_BLOCK_POOL=1
export ASCEND_RT_VISIBLE_DEVICES=$1
vllm serve /tmp/117/DeepSeek-V4-Flash-w8a8-mtp/ \
    --host 0.0.0.0 \
    --port $2 \
    --data-parallel-size $3 \
    --data-parallel-rank $4 \
    --data-parallel-address $5 \
    --data-parallel-rpc-port $6 \
    --tensor-parallel-size $7 \
    --enable-expert-parallel \
    --seed 1024 \
    --served-model-name deepseek_v4 \
    --max-model-len 1048576 \
    --max-num-batched-tokens 60 \
    --max-num-seqs 30 \
    --async-scheduling \
    --no-disable-hybrid-kv-cache-manager \
    --enable-prefix-caching \
    --trust-remote-code \
    --gpu-memory-utilization 0.9 \
    --quantization ascend \
    --safetensors-load-strategy 'prefetch' \
    --tokenizer-mode deepseek_v4 \
    --tool-call-parser deepseek_v4 \
    --enable-auto-tool-choice \
    --reasoning-parser deepseek_v4 \
    --quantization ascend \
    --speculative-config '{"num_speculative_tokens": 1, "method":"deepseek_mtp"}' \
    --compilation-config '{"cudagraph_mode": "FULL_DECODE_ONLY"}' \
    --kv-transfer-config \
    '{"kv_connector": "MooncakeHybridConnector",
    "kv_role": "kv_consumer",
    "kv_port": "30100",
    "engine_id": "1",
    "kv_connector_extra_config": {
                "prefill": {
                        "dp_size": 4,
                        "tp_size": 8
                },
                "decode": {
                        "dp_size": 4,
                        "tp_size": 8
                }
        }
    }' \
    --additional-config '{
        "ascend_compilation_config":{
              "enable_npugraph_ex":false,
              "enable_static_kernel":false
        },
        "eplb_config":{
              "dynamic_eplb":false,
              "expert_heat_collection_interval":600,
              "algorithm_execution_interval":50,
              "eplb_policy_type":2,
              "num_redundant_experts":32
       },
       "enable_cpu_binding":true,
       "multistream_overlap_shared_expert":false,
       "multistream_dsa_preprocess":false,
       "recompute_scheduler_enable":true
    }'</t>
    <phoneticPr fontId="1" type="noConversion"/>
  </si>
  <si>
    <t xml:space="preserve">P:DP8TP1
D:DP32TP1 </t>
    <phoneticPr fontId="1" type="noConversion"/>
  </si>
  <si>
    <t>1*4P+1*4D
共8机</t>
    <phoneticPr fontId="1" type="noConversion"/>
  </si>
  <si>
    <t xml:space="preserve">P:DP4TP8
D:DP4TP8 </t>
    <phoneticPr fontId="1" type="noConversion"/>
  </si>
  <si>
    <t>4机混部EP32
共4机</t>
    <phoneticPr fontId="5" type="noConversion"/>
  </si>
  <si>
    <t>A2 4机混部</t>
    <phoneticPr fontId="5" type="noConversion"/>
  </si>
  <si>
    <t>1*4P+1*4D(EP32)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</si>
</sst>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8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rgb="FF000000"/>
      <name val="微软雅黑"/>
      <family val="2"/>
      <charset val="134"/>
    </font>
    <font>
      <sz val="11"/>
      <color rgb="FFC0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rgb="FFC00000"/>
      <name val="微软雅黑"/>
      <family val="2"/>
      <charset val="134"/>
    </font>
    <font>
      <sz val="10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>
      <alignment vertical="center"/>
    </xf>
    <xf numFmtId="0" fontId="7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1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8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7" fillId="4" borderId="0" xfId="0" applyFont="1" applyFill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5" borderId="0" xfId="0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9" fontId="10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0" fillId="0" borderId="1" xfId="0" applyFont="1" applyFill="1" applyBorder="1" applyAlignment="1">
      <alignment horizontal="center" vertical="center"/>
    </xf>
    <xf numFmtId="9" fontId="7" fillId="0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zoomScale="115" zoomScaleNormal="115" workbookViewId="0">
      <selection sqref="A1:F15"/>
    </sheetView>
  </sheetViews>
  <sheetFormatPr defaultRowHeight="13.5" x14ac:dyDescent="0.15"/>
  <cols>
    <col min="1" max="6" width="20.875" customWidth="1"/>
  </cols>
  <sheetData>
    <row r="1" spans="1:6" x14ac:dyDescent="0.15">
      <c r="A1" s="52" t="s">
        <v>78</v>
      </c>
      <c r="B1" s="53"/>
      <c r="C1" s="53"/>
      <c r="D1" s="53"/>
      <c r="E1" s="53"/>
      <c r="F1" s="53"/>
    </row>
    <row r="2" spans="1:6" x14ac:dyDescent="0.15">
      <c r="A2" s="53"/>
      <c r="B2" s="53"/>
      <c r="C2" s="53"/>
      <c r="D2" s="53"/>
      <c r="E2" s="53"/>
      <c r="F2" s="53"/>
    </row>
    <row r="3" spans="1:6" x14ac:dyDescent="0.15">
      <c r="A3" s="53"/>
      <c r="B3" s="53"/>
      <c r="C3" s="53"/>
      <c r="D3" s="53"/>
      <c r="E3" s="53"/>
      <c r="F3" s="53"/>
    </row>
    <row r="4" spans="1:6" x14ac:dyDescent="0.15">
      <c r="A4" s="53"/>
      <c r="B4" s="53"/>
      <c r="C4" s="53"/>
      <c r="D4" s="53"/>
      <c r="E4" s="53"/>
      <c r="F4" s="53"/>
    </row>
    <row r="5" spans="1:6" x14ac:dyDescent="0.15">
      <c r="A5" s="53"/>
      <c r="B5" s="53"/>
      <c r="C5" s="53"/>
      <c r="D5" s="53"/>
      <c r="E5" s="53"/>
      <c r="F5" s="53"/>
    </row>
    <row r="6" spans="1:6" x14ac:dyDescent="0.15">
      <c r="A6" s="53"/>
      <c r="B6" s="53"/>
      <c r="C6" s="53"/>
      <c r="D6" s="53"/>
      <c r="E6" s="53"/>
      <c r="F6" s="53"/>
    </row>
    <row r="7" spans="1:6" x14ac:dyDescent="0.15">
      <c r="A7" s="53"/>
      <c r="B7" s="53"/>
      <c r="C7" s="53"/>
      <c r="D7" s="53"/>
      <c r="E7" s="53"/>
      <c r="F7" s="53"/>
    </row>
    <row r="8" spans="1:6" x14ac:dyDescent="0.15">
      <c r="A8" s="53"/>
      <c r="B8" s="53"/>
      <c r="C8" s="53"/>
      <c r="D8" s="53"/>
      <c r="E8" s="53"/>
      <c r="F8" s="53"/>
    </row>
    <row r="9" spans="1:6" x14ac:dyDescent="0.15">
      <c r="A9" s="53"/>
      <c r="B9" s="53"/>
      <c r="C9" s="53"/>
      <c r="D9" s="53"/>
      <c r="E9" s="53"/>
      <c r="F9" s="53"/>
    </row>
    <row r="10" spans="1:6" x14ac:dyDescent="0.15">
      <c r="A10" s="53"/>
      <c r="B10" s="53"/>
      <c r="C10" s="53"/>
      <c r="D10" s="53"/>
      <c r="E10" s="53"/>
      <c r="F10" s="53"/>
    </row>
    <row r="11" spans="1:6" x14ac:dyDescent="0.15">
      <c r="A11" s="53"/>
      <c r="B11" s="53"/>
      <c r="C11" s="53"/>
      <c r="D11" s="53"/>
      <c r="E11" s="53"/>
      <c r="F11" s="53"/>
    </row>
    <row r="12" spans="1:6" x14ac:dyDescent="0.15">
      <c r="A12" s="53"/>
      <c r="B12" s="53"/>
      <c r="C12" s="53"/>
      <c r="D12" s="53"/>
      <c r="E12" s="53"/>
      <c r="F12" s="53"/>
    </row>
    <row r="13" spans="1:6" x14ac:dyDescent="0.15">
      <c r="A13" s="53"/>
      <c r="B13" s="53"/>
      <c r="C13" s="53"/>
      <c r="D13" s="53"/>
      <c r="E13" s="53"/>
      <c r="F13" s="53"/>
    </row>
    <row r="14" spans="1:6" x14ac:dyDescent="0.15">
      <c r="A14" s="53"/>
      <c r="B14" s="53"/>
      <c r="C14" s="53"/>
      <c r="D14" s="53"/>
      <c r="E14" s="53"/>
      <c r="F14" s="53"/>
    </row>
    <row r="15" spans="1:6" ht="69" customHeight="1" x14ac:dyDescent="0.15">
      <c r="A15" s="53"/>
      <c r="B15" s="53"/>
      <c r="C15" s="53"/>
      <c r="D15" s="53"/>
      <c r="E15" s="53"/>
      <c r="F15" s="53"/>
    </row>
  </sheetData>
  <mergeCells count="1">
    <mergeCell ref="A1:F15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"/>
  <sheetViews>
    <sheetView zoomScale="55" zoomScaleNormal="55" workbookViewId="0">
      <pane ySplit="1" topLeftCell="A18" activePane="bottomLeft" state="frozen"/>
      <selection pane="bottomLeft" activeCell="F27" sqref="F27"/>
    </sheetView>
  </sheetViews>
  <sheetFormatPr defaultRowHeight="13.5" x14ac:dyDescent="0.15"/>
  <cols>
    <col min="1" max="5" width="18.875" customWidth="1"/>
    <col min="6" max="6" width="25.625" customWidth="1"/>
    <col min="7" max="12" width="18.875" customWidth="1"/>
    <col min="13" max="13" width="22.75" style="30" customWidth="1"/>
    <col min="14" max="14" width="18.875" style="30" customWidth="1"/>
    <col min="15" max="23" width="18.875" customWidth="1"/>
  </cols>
  <sheetData>
    <row r="1" spans="1:23" ht="27.4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80</v>
      </c>
      <c r="K1" s="1" t="s">
        <v>9</v>
      </c>
      <c r="L1" s="1" t="s">
        <v>10</v>
      </c>
      <c r="M1" s="3" t="s">
        <v>11</v>
      </c>
      <c r="N1" s="2" t="s">
        <v>12</v>
      </c>
      <c r="O1" s="1" t="s">
        <v>13</v>
      </c>
      <c r="P1" s="4" t="s">
        <v>14</v>
      </c>
      <c r="Q1" s="5" t="s">
        <v>15</v>
      </c>
      <c r="R1" s="5" t="s">
        <v>16</v>
      </c>
      <c r="S1" s="4" t="s">
        <v>76</v>
      </c>
      <c r="T1" s="5" t="s">
        <v>17</v>
      </c>
      <c r="U1" s="5" t="s">
        <v>18</v>
      </c>
      <c r="V1" s="5" t="s">
        <v>19</v>
      </c>
      <c r="W1" s="6" t="s">
        <v>20</v>
      </c>
    </row>
    <row r="2" spans="1:23" ht="45" customHeight="1" x14ac:dyDescent="0.15">
      <c r="A2" s="7" t="s">
        <v>21</v>
      </c>
      <c r="B2" s="7" t="s">
        <v>22</v>
      </c>
      <c r="C2" s="7" t="s">
        <v>23</v>
      </c>
      <c r="D2" s="8" t="s">
        <v>24</v>
      </c>
      <c r="E2" s="7" t="s">
        <v>25</v>
      </c>
      <c r="F2" s="9" t="s">
        <v>26</v>
      </c>
      <c r="G2" s="10">
        <v>32</v>
      </c>
      <c r="H2" s="11" t="s">
        <v>27</v>
      </c>
      <c r="I2" s="12" t="s">
        <v>28</v>
      </c>
      <c r="J2" s="42" t="s">
        <v>81</v>
      </c>
      <c r="K2" s="8" t="s">
        <v>29</v>
      </c>
      <c r="L2" s="8" t="s">
        <v>30</v>
      </c>
      <c r="M2" s="10">
        <v>0</v>
      </c>
      <c r="N2" s="10">
        <v>740.29499999999996</v>
      </c>
      <c r="O2" s="8">
        <v>10104.9</v>
      </c>
      <c r="P2" s="13">
        <v>45.1</v>
      </c>
      <c r="Q2" s="13">
        <v>291.58300000000003</v>
      </c>
      <c r="R2" s="13">
        <v>13485.543600000001</v>
      </c>
      <c r="S2" s="14">
        <f t="shared" ref="S2:S18" si="0">R2/G2</f>
        <v>421.42323750000003</v>
      </c>
      <c r="T2" s="13">
        <v>121381.8138</v>
      </c>
      <c r="U2" s="13">
        <f t="shared" ref="U2:U18" si="1">T2/G2</f>
        <v>3793.1816812500001</v>
      </c>
      <c r="V2" s="13">
        <v>13.169499999999999</v>
      </c>
      <c r="W2" s="13">
        <f t="shared" ref="W2:W18" si="2">V2*60</f>
        <v>790.17</v>
      </c>
    </row>
    <row r="3" spans="1:23" ht="45" customHeight="1" x14ac:dyDescent="0.15">
      <c r="A3" s="7" t="s">
        <v>21</v>
      </c>
      <c r="B3" s="7" t="s">
        <v>22</v>
      </c>
      <c r="C3" s="7" t="s">
        <v>23</v>
      </c>
      <c r="D3" s="8" t="s">
        <v>24</v>
      </c>
      <c r="E3" s="7" t="s">
        <v>25</v>
      </c>
      <c r="F3" s="9" t="s">
        <v>26</v>
      </c>
      <c r="G3" s="10">
        <v>32</v>
      </c>
      <c r="H3" s="11" t="s">
        <v>27</v>
      </c>
      <c r="I3" s="12" t="s">
        <v>28</v>
      </c>
      <c r="J3" s="42" t="s">
        <v>82</v>
      </c>
      <c r="K3" s="8" t="s">
        <v>29</v>
      </c>
      <c r="L3" s="8" t="s">
        <v>30</v>
      </c>
      <c r="M3" s="10">
        <v>0</v>
      </c>
      <c r="N3" s="10">
        <v>752.89589999999998</v>
      </c>
      <c r="O3" s="8">
        <v>9998.1</v>
      </c>
      <c r="P3" s="13">
        <v>46</v>
      </c>
      <c r="Q3" s="13">
        <v>291.04899999999998</v>
      </c>
      <c r="R3" s="13">
        <v>13510.301299999999</v>
      </c>
      <c r="S3" s="14">
        <f t="shared" si="0"/>
        <v>422.19691562499997</v>
      </c>
      <c r="T3" s="13">
        <v>121604.65459999999</v>
      </c>
      <c r="U3" s="13">
        <f t="shared" si="1"/>
        <v>3800.1454562499998</v>
      </c>
      <c r="V3" s="13">
        <v>13.1937</v>
      </c>
      <c r="W3" s="13">
        <f t="shared" si="2"/>
        <v>791.62199999999996</v>
      </c>
    </row>
    <row r="4" spans="1:23" ht="45" customHeight="1" x14ac:dyDescent="0.15">
      <c r="A4" s="7" t="s">
        <v>21</v>
      </c>
      <c r="B4" s="7" t="s">
        <v>22</v>
      </c>
      <c r="C4" s="7" t="s">
        <v>23</v>
      </c>
      <c r="D4" s="8" t="s">
        <v>24</v>
      </c>
      <c r="E4" s="7" t="s">
        <v>25</v>
      </c>
      <c r="F4" s="15" t="s">
        <v>31</v>
      </c>
      <c r="G4" s="10">
        <v>32</v>
      </c>
      <c r="H4" s="11" t="s">
        <v>27</v>
      </c>
      <c r="I4" s="12" t="s">
        <v>32</v>
      </c>
      <c r="J4" s="42" t="s">
        <v>83</v>
      </c>
      <c r="K4" s="8" t="s">
        <v>29</v>
      </c>
      <c r="L4" s="7" t="s">
        <v>33</v>
      </c>
      <c r="M4" s="17">
        <v>0</v>
      </c>
      <c r="N4" s="10">
        <v>1571.2153000000001</v>
      </c>
      <c r="O4" s="8">
        <v>36006.300000000003</v>
      </c>
      <c r="P4" s="13">
        <v>43.8</v>
      </c>
      <c r="Q4" s="13">
        <v>3440.0610000000001</v>
      </c>
      <c r="R4" s="13">
        <v>34139.075100000002</v>
      </c>
      <c r="S4" s="14">
        <f t="shared" si="0"/>
        <v>1066.8460968750001</v>
      </c>
      <c r="T4" s="13">
        <v>51210.469899999996</v>
      </c>
      <c r="U4" s="13">
        <f t="shared" si="1"/>
        <v>1600.3271843749999</v>
      </c>
      <c r="V4" s="13">
        <v>2.0836999999999999</v>
      </c>
      <c r="W4" s="13">
        <f t="shared" si="2"/>
        <v>125.02199999999999</v>
      </c>
    </row>
    <row r="5" spans="1:23" ht="45" customHeight="1" x14ac:dyDescent="0.15">
      <c r="A5" s="7" t="s">
        <v>21</v>
      </c>
      <c r="B5" s="7" t="s">
        <v>22</v>
      </c>
      <c r="C5" s="7" t="s">
        <v>23</v>
      </c>
      <c r="D5" s="8" t="s">
        <v>24</v>
      </c>
      <c r="E5" s="8" t="s">
        <v>25</v>
      </c>
      <c r="F5" s="12" t="s">
        <v>34</v>
      </c>
      <c r="G5" s="10">
        <v>32</v>
      </c>
      <c r="H5" s="11" t="s">
        <v>27</v>
      </c>
      <c r="I5" s="12" t="s">
        <v>32</v>
      </c>
      <c r="J5" s="42" t="s">
        <v>84</v>
      </c>
      <c r="K5" s="8" t="s">
        <v>29</v>
      </c>
      <c r="L5" s="7" t="s">
        <v>33</v>
      </c>
      <c r="M5" s="17">
        <v>0</v>
      </c>
      <c r="N5" s="10">
        <v>1792</v>
      </c>
      <c r="O5" s="8">
        <v>26242.400000000001</v>
      </c>
      <c r="P5" s="13">
        <v>43.7</v>
      </c>
      <c r="Q5" s="13">
        <v>2214.38</v>
      </c>
      <c r="R5" s="13">
        <v>39776.5317</v>
      </c>
      <c r="S5" s="40">
        <f t="shared" si="0"/>
        <v>1243.016615625</v>
      </c>
      <c r="T5" s="13">
        <v>59666.975100000003</v>
      </c>
      <c r="U5" s="13">
        <f t="shared" si="1"/>
        <v>1864.5929718750001</v>
      </c>
      <c r="V5" s="13">
        <v>2.4278</v>
      </c>
      <c r="W5" s="13">
        <f t="shared" si="2"/>
        <v>145.66800000000001</v>
      </c>
    </row>
    <row r="6" spans="1:23" ht="45" customHeight="1" x14ac:dyDescent="0.15">
      <c r="A6" s="7" t="s">
        <v>21</v>
      </c>
      <c r="B6" s="7" t="s">
        <v>22</v>
      </c>
      <c r="C6" s="7" t="s">
        <v>23</v>
      </c>
      <c r="D6" s="8" t="s">
        <v>35</v>
      </c>
      <c r="E6" s="8" t="s">
        <v>25</v>
      </c>
      <c r="F6" s="16" t="s">
        <v>36</v>
      </c>
      <c r="G6" s="10">
        <v>32</v>
      </c>
      <c r="H6" s="11" t="s">
        <v>27</v>
      </c>
      <c r="I6" s="12" t="s">
        <v>28</v>
      </c>
      <c r="J6" s="43" t="s">
        <v>85</v>
      </c>
      <c r="K6" s="8" t="s">
        <v>29</v>
      </c>
      <c r="L6" s="8" t="s">
        <v>30</v>
      </c>
      <c r="M6" s="10">
        <v>0</v>
      </c>
      <c r="N6" s="10">
        <v>15.4282</v>
      </c>
      <c r="O6" s="8">
        <v>3833.3</v>
      </c>
      <c r="P6" s="13">
        <v>23.9</v>
      </c>
      <c r="Q6" s="13">
        <v>117.294</v>
      </c>
      <c r="R6" s="13">
        <v>558.7319</v>
      </c>
      <c r="S6" s="40">
        <f t="shared" si="0"/>
        <v>17.460371875</v>
      </c>
      <c r="T6" s="13">
        <v>5030.0105999999996</v>
      </c>
      <c r="U6" s="13">
        <f t="shared" si="1"/>
        <v>157.18783124999999</v>
      </c>
      <c r="V6" s="13">
        <v>0.54559999999999997</v>
      </c>
      <c r="W6" s="13">
        <f t="shared" si="2"/>
        <v>32.735999999999997</v>
      </c>
    </row>
    <row r="7" spans="1:23" ht="45" customHeight="1" x14ac:dyDescent="0.15">
      <c r="A7" s="7" t="s">
        <v>21</v>
      </c>
      <c r="B7" s="7" t="s">
        <v>22</v>
      </c>
      <c r="C7" s="7" t="s">
        <v>23</v>
      </c>
      <c r="D7" s="8" t="s">
        <v>24</v>
      </c>
      <c r="E7" s="8" t="s">
        <v>25</v>
      </c>
      <c r="F7" s="16" t="s">
        <v>36</v>
      </c>
      <c r="G7" s="10">
        <v>32</v>
      </c>
      <c r="H7" s="11" t="s">
        <v>27</v>
      </c>
      <c r="I7" s="12" t="s">
        <v>28</v>
      </c>
      <c r="J7" s="43" t="s">
        <v>85</v>
      </c>
      <c r="K7" s="8" t="s">
        <v>37</v>
      </c>
      <c r="L7" s="8" t="s">
        <v>30</v>
      </c>
      <c r="M7" s="10">
        <v>0</v>
      </c>
      <c r="N7" s="10">
        <v>125.14279999999999</v>
      </c>
      <c r="O7" s="8">
        <v>13247.6</v>
      </c>
      <c r="P7" s="13">
        <v>31.2</v>
      </c>
      <c r="Q7" s="13">
        <v>346.46</v>
      </c>
      <c r="R7" s="13">
        <v>2837.3814000000002</v>
      </c>
      <c r="S7" s="40">
        <f t="shared" si="0"/>
        <v>88.668168750000007</v>
      </c>
      <c r="T7" s="13">
        <v>93606.955499999996</v>
      </c>
      <c r="U7" s="13">
        <f t="shared" si="1"/>
        <v>2925.2173593749999</v>
      </c>
      <c r="V7" s="13">
        <v>2.7709000000000001</v>
      </c>
      <c r="W7" s="13">
        <f t="shared" si="2"/>
        <v>166.25400000000002</v>
      </c>
    </row>
    <row r="8" spans="1:23" ht="45" customHeight="1" x14ac:dyDescent="0.15">
      <c r="A8" s="7" t="s">
        <v>21</v>
      </c>
      <c r="B8" s="7" t="s">
        <v>22</v>
      </c>
      <c r="C8" s="7" t="s">
        <v>23</v>
      </c>
      <c r="D8" s="8" t="s">
        <v>35</v>
      </c>
      <c r="E8" s="8" t="s">
        <v>25</v>
      </c>
      <c r="F8" s="16" t="s">
        <v>36</v>
      </c>
      <c r="G8" s="10">
        <v>32</v>
      </c>
      <c r="H8" s="11" t="s">
        <v>27</v>
      </c>
      <c r="I8" s="12" t="s">
        <v>28</v>
      </c>
      <c r="J8" s="43" t="s">
        <v>85</v>
      </c>
      <c r="K8" s="8" t="s">
        <v>37</v>
      </c>
      <c r="L8" s="8" t="s">
        <v>30</v>
      </c>
      <c r="M8" s="10">
        <v>0</v>
      </c>
      <c r="N8" s="10">
        <v>15.9146</v>
      </c>
      <c r="O8" s="8">
        <v>9801.9</v>
      </c>
      <c r="P8" s="13">
        <v>24.2</v>
      </c>
      <c r="Q8" s="13">
        <v>141.214</v>
      </c>
      <c r="R8" s="13">
        <v>464.0899</v>
      </c>
      <c r="S8" s="40">
        <f t="shared" si="0"/>
        <v>14.502809375</v>
      </c>
      <c r="T8" s="13">
        <v>15314.2588</v>
      </c>
      <c r="U8" s="13">
        <f t="shared" si="1"/>
        <v>478.57058749999999</v>
      </c>
      <c r="V8" s="13">
        <v>0.45319999999999999</v>
      </c>
      <c r="W8" s="13">
        <f t="shared" si="2"/>
        <v>27.192</v>
      </c>
    </row>
    <row r="9" spans="1:23" ht="45" customHeight="1" x14ac:dyDescent="0.15">
      <c r="A9" s="7" t="s">
        <v>21</v>
      </c>
      <c r="B9" s="7" t="s">
        <v>22</v>
      </c>
      <c r="C9" s="7" t="s">
        <v>23</v>
      </c>
      <c r="D9" s="8" t="s">
        <v>24</v>
      </c>
      <c r="E9" s="8" t="s">
        <v>25</v>
      </c>
      <c r="F9" s="16" t="s">
        <v>36</v>
      </c>
      <c r="G9" s="10">
        <v>32</v>
      </c>
      <c r="H9" s="11" t="s">
        <v>27</v>
      </c>
      <c r="I9" s="12" t="s">
        <v>28</v>
      </c>
      <c r="J9" s="43" t="s">
        <v>86</v>
      </c>
      <c r="K9" s="8" t="s">
        <v>38</v>
      </c>
      <c r="L9" s="8" t="s">
        <v>30</v>
      </c>
      <c r="M9" s="33">
        <v>0.9</v>
      </c>
      <c r="N9" s="10">
        <v>195.3304</v>
      </c>
      <c r="O9" s="8">
        <v>11821.8</v>
      </c>
      <c r="P9" s="13">
        <v>36.200000000000003</v>
      </c>
      <c r="Q9" s="13">
        <v>255.85599999999999</v>
      </c>
      <c r="R9" s="13">
        <v>4098.2939999999999</v>
      </c>
      <c r="S9" s="40">
        <f t="shared" si="0"/>
        <v>128.0716875</v>
      </c>
      <c r="T9" s="13">
        <v>528696.15079999994</v>
      </c>
      <c r="U9" s="13">
        <f t="shared" si="1"/>
        <v>16521.754712499998</v>
      </c>
      <c r="V9" s="13">
        <v>4.0022000000000002</v>
      </c>
      <c r="W9" s="13">
        <f t="shared" si="2"/>
        <v>240.13200000000001</v>
      </c>
    </row>
    <row r="10" spans="1:23" ht="45" customHeight="1" x14ac:dyDescent="0.15">
      <c r="A10" s="7" t="s">
        <v>21</v>
      </c>
      <c r="B10" s="7" t="s">
        <v>22</v>
      </c>
      <c r="C10" s="7" t="s">
        <v>23</v>
      </c>
      <c r="D10" s="8" t="s">
        <v>35</v>
      </c>
      <c r="E10" s="8" t="s">
        <v>25</v>
      </c>
      <c r="F10" s="16" t="s">
        <v>36</v>
      </c>
      <c r="G10" s="10">
        <v>32</v>
      </c>
      <c r="H10" s="11" t="s">
        <v>27</v>
      </c>
      <c r="I10" s="12" t="s">
        <v>28</v>
      </c>
      <c r="J10" s="43" t="s">
        <v>86</v>
      </c>
      <c r="K10" s="8" t="s">
        <v>38</v>
      </c>
      <c r="L10" s="8" t="s">
        <v>30</v>
      </c>
      <c r="M10" s="33">
        <v>0.9</v>
      </c>
      <c r="N10" s="10">
        <v>45.498199999999997</v>
      </c>
      <c r="O10" s="8">
        <v>10580.4</v>
      </c>
      <c r="P10" s="13">
        <v>29</v>
      </c>
      <c r="Q10" s="13">
        <v>169.68799999999999</v>
      </c>
      <c r="R10" s="13">
        <v>1158.6437000000001</v>
      </c>
      <c r="S10" s="40">
        <f t="shared" si="0"/>
        <v>36.207615625000003</v>
      </c>
      <c r="T10" s="13">
        <v>149469.61180000001</v>
      </c>
      <c r="U10" s="13">
        <f t="shared" si="1"/>
        <v>4670.9253687500004</v>
      </c>
      <c r="V10" s="13">
        <v>1.1315</v>
      </c>
      <c r="W10" s="13">
        <f t="shared" si="2"/>
        <v>67.89</v>
      </c>
    </row>
    <row r="11" spans="1:23" ht="45" customHeight="1" x14ac:dyDescent="0.15">
      <c r="A11" s="7" t="s">
        <v>21</v>
      </c>
      <c r="B11" s="7" t="s">
        <v>22</v>
      </c>
      <c r="C11" s="7" t="s">
        <v>23</v>
      </c>
      <c r="D11" s="8" t="s">
        <v>39</v>
      </c>
      <c r="E11" s="8" t="s">
        <v>25</v>
      </c>
      <c r="F11" s="16" t="s">
        <v>36</v>
      </c>
      <c r="G11" s="10">
        <v>32</v>
      </c>
      <c r="H11" s="11" t="s">
        <v>27</v>
      </c>
      <c r="I11" s="12" t="s">
        <v>28</v>
      </c>
      <c r="J11" s="43" t="s">
        <v>87</v>
      </c>
      <c r="K11" s="8" t="s">
        <v>40</v>
      </c>
      <c r="L11" s="8" t="s">
        <v>30</v>
      </c>
      <c r="M11" s="33">
        <v>0.99</v>
      </c>
      <c r="N11" s="10">
        <v>43.807099999999998</v>
      </c>
      <c r="O11" s="8">
        <v>43428.800000000003</v>
      </c>
      <c r="P11" s="13">
        <v>38.299999999999997</v>
      </c>
      <c r="Q11" s="13">
        <v>362.28399999999999</v>
      </c>
      <c r="R11" s="13">
        <v>542.69010000000003</v>
      </c>
      <c r="S11" s="40">
        <f t="shared" si="0"/>
        <v>16.959065625000001</v>
      </c>
      <c r="T11" s="13">
        <v>543234.98560000001</v>
      </c>
      <c r="U11" s="13">
        <f t="shared" si="1"/>
        <v>16976.0933</v>
      </c>
      <c r="V11" s="13">
        <v>0.53</v>
      </c>
      <c r="W11" s="13">
        <f t="shared" si="2"/>
        <v>31.8</v>
      </c>
    </row>
    <row r="12" spans="1:23" ht="45" customHeight="1" x14ac:dyDescent="0.15">
      <c r="A12" s="7" t="s">
        <v>21</v>
      </c>
      <c r="B12" s="7" t="s">
        <v>22</v>
      </c>
      <c r="C12" s="7" t="s">
        <v>41</v>
      </c>
      <c r="D12" s="8" t="s">
        <v>24</v>
      </c>
      <c r="E12" s="8" t="s">
        <v>25</v>
      </c>
      <c r="F12" s="9" t="s">
        <v>74</v>
      </c>
      <c r="G12" s="10">
        <v>8</v>
      </c>
      <c r="H12" s="41" t="s">
        <v>79</v>
      </c>
      <c r="I12" s="17" t="s">
        <v>42</v>
      </c>
      <c r="J12" s="42" t="s">
        <v>88</v>
      </c>
      <c r="K12" s="8" t="s">
        <v>29</v>
      </c>
      <c r="L12" s="8" t="s">
        <v>30</v>
      </c>
      <c r="M12" s="10">
        <v>0</v>
      </c>
      <c r="N12" s="10">
        <v>31.43</v>
      </c>
      <c r="O12" s="8">
        <v>2932</v>
      </c>
      <c r="P12" s="13">
        <v>46.3</v>
      </c>
      <c r="Q12" s="13">
        <v>204.9</v>
      </c>
      <c r="R12" s="13">
        <v>639.57000000000005</v>
      </c>
      <c r="S12" s="40">
        <f t="shared" si="0"/>
        <v>79.946250000000006</v>
      </c>
      <c r="T12" s="13">
        <v>5758.6866</v>
      </c>
      <c r="U12" s="13">
        <f t="shared" si="1"/>
        <v>719.835825</v>
      </c>
      <c r="V12" s="13">
        <v>0.62460000000000004</v>
      </c>
      <c r="W12" s="13">
        <f t="shared" si="2"/>
        <v>37.475999999999999</v>
      </c>
    </row>
    <row r="13" spans="1:23" ht="45" customHeight="1" x14ac:dyDescent="0.15">
      <c r="A13" s="7" t="s">
        <v>21</v>
      </c>
      <c r="B13" s="7" t="s">
        <v>22</v>
      </c>
      <c r="C13" s="7" t="s">
        <v>41</v>
      </c>
      <c r="D13" s="8" t="s">
        <v>35</v>
      </c>
      <c r="E13" s="8" t="s">
        <v>25</v>
      </c>
      <c r="F13" s="9" t="s">
        <v>74</v>
      </c>
      <c r="G13" s="10">
        <v>8</v>
      </c>
      <c r="H13" s="11" t="s">
        <v>27</v>
      </c>
      <c r="I13" s="17" t="s">
        <v>42</v>
      </c>
      <c r="J13" s="42" t="s">
        <v>88</v>
      </c>
      <c r="K13" s="8" t="s">
        <v>29</v>
      </c>
      <c r="L13" s="8" t="s">
        <v>30</v>
      </c>
      <c r="M13" s="10">
        <v>0</v>
      </c>
      <c r="N13" s="10">
        <v>1</v>
      </c>
      <c r="O13" s="8">
        <v>856.7</v>
      </c>
      <c r="P13" s="13">
        <v>22.1</v>
      </c>
      <c r="Q13" s="13">
        <v>93.75</v>
      </c>
      <c r="R13" s="13">
        <v>43.69</v>
      </c>
      <c r="S13" s="40">
        <f t="shared" si="0"/>
        <v>5.4612499999999997</v>
      </c>
      <c r="T13" s="13">
        <v>393.36500000000001</v>
      </c>
      <c r="U13" s="13">
        <f t="shared" si="1"/>
        <v>49.170625000000001</v>
      </c>
      <c r="V13" s="13">
        <v>4.2700000000000002E-2</v>
      </c>
      <c r="W13" s="13">
        <f t="shared" si="2"/>
        <v>2.5620000000000003</v>
      </c>
    </row>
    <row r="14" spans="1:23" ht="45" customHeight="1" x14ac:dyDescent="0.15">
      <c r="A14" s="7" t="s">
        <v>21</v>
      </c>
      <c r="B14" s="7" t="s">
        <v>22</v>
      </c>
      <c r="C14" s="7" t="s">
        <v>41</v>
      </c>
      <c r="D14" s="8" t="s">
        <v>24</v>
      </c>
      <c r="E14" s="8" t="s">
        <v>25</v>
      </c>
      <c r="F14" s="9" t="s">
        <v>74</v>
      </c>
      <c r="G14" s="10">
        <v>8</v>
      </c>
      <c r="H14" s="11" t="s">
        <v>27</v>
      </c>
      <c r="I14" s="17" t="s">
        <v>43</v>
      </c>
      <c r="J14" s="42" t="s">
        <v>89</v>
      </c>
      <c r="K14" s="8" t="s">
        <v>37</v>
      </c>
      <c r="L14" s="8" t="s">
        <v>30</v>
      </c>
      <c r="M14" s="10">
        <v>0</v>
      </c>
      <c r="N14" s="10">
        <v>14.65</v>
      </c>
      <c r="O14" s="8">
        <v>13334.3</v>
      </c>
      <c r="P14" s="13">
        <v>53.9</v>
      </c>
      <c r="Q14" s="13">
        <v>299</v>
      </c>
      <c r="R14" s="13">
        <v>219.185</v>
      </c>
      <c r="S14" s="40">
        <f t="shared" si="0"/>
        <v>27.398125</v>
      </c>
      <c r="T14" s="13">
        <v>7233.9596000000001</v>
      </c>
      <c r="U14" s="13">
        <f t="shared" si="1"/>
        <v>904.24495000000002</v>
      </c>
      <c r="V14" s="13">
        <v>0.214</v>
      </c>
      <c r="W14" s="13">
        <f t="shared" si="2"/>
        <v>12.84</v>
      </c>
    </row>
    <row r="15" spans="1:23" ht="45" customHeight="1" x14ac:dyDescent="0.15">
      <c r="A15" s="7" t="s">
        <v>21</v>
      </c>
      <c r="B15" s="7" t="s">
        <v>22</v>
      </c>
      <c r="C15" s="7" t="s">
        <v>41</v>
      </c>
      <c r="D15" s="8" t="s">
        <v>35</v>
      </c>
      <c r="E15" s="8" t="s">
        <v>25</v>
      </c>
      <c r="F15" s="9" t="s">
        <v>74</v>
      </c>
      <c r="G15" s="10">
        <v>8</v>
      </c>
      <c r="H15" s="11" t="s">
        <v>27</v>
      </c>
      <c r="I15" s="17" t="s">
        <v>43</v>
      </c>
      <c r="J15" s="42" t="s">
        <v>89</v>
      </c>
      <c r="K15" s="8" t="s">
        <v>37</v>
      </c>
      <c r="L15" s="8" t="s">
        <v>30</v>
      </c>
      <c r="M15" s="10">
        <v>0</v>
      </c>
      <c r="N15" s="10">
        <v>1</v>
      </c>
      <c r="O15" s="8">
        <v>4926.8</v>
      </c>
      <c r="P15" s="13">
        <v>22.6</v>
      </c>
      <c r="Q15" s="13">
        <v>112.2</v>
      </c>
      <c r="R15" s="13">
        <v>36.49</v>
      </c>
      <c r="S15" s="40">
        <f t="shared" si="0"/>
        <v>4.5612500000000002</v>
      </c>
      <c r="T15" s="13">
        <v>1204.3130000000001</v>
      </c>
      <c r="U15" s="13">
        <f t="shared" si="1"/>
        <v>150.53912500000001</v>
      </c>
      <c r="V15" s="13">
        <v>3.56E-2</v>
      </c>
      <c r="W15" s="13">
        <f t="shared" si="2"/>
        <v>2.1360000000000001</v>
      </c>
    </row>
    <row r="16" spans="1:23" ht="45" customHeight="1" x14ac:dyDescent="0.15">
      <c r="A16" s="7" t="s">
        <v>21</v>
      </c>
      <c r="B16" s="7" t="s">
        <v>22</v>
      </c>
      <c r="C16" s="7" t="s">
        <v>41</v>
      </c>
      <c r="D16" s="8" t="s">
        <v>24</v>
      </c>
      <c r="E16" s="8" t="s">
        <v>25</v>
      </c>
      <c r="F16" s="9" t="s">
        <v>74</v>
      </c>
      <c r="G16" s="10">
        <v>8</v>
      </c>
      <c r="H16" s="11" t="s">
        <v>27</v>
      </c>
      <c r="I16" s="17" t="s">
        <v>43</v>
      </c>
      <c r="J16" s="42" t="s">
        <v>90</v>
      </c>
      <c r="K16" s="8" t="s">
        <v>38</v>
      </c>
      <c r="L16" s="8" t="s">
        <v>30</v>
      </c>
      <c r="M16" s="33">
        <v>0.9</v>
      </c>
      <c r="N16" s="10">
        <v>7.5096999999999996</v>
      </c>
      <c r="O16" s="8">
        <v>15386.8</v>
      </c>
      <c r="P16" s="13">
        <v>40.700000000000003</v>
      </c>
      <c r="Q16" s="13">
        <v>242.97207800000001</v>
      </c>
      <c r="R16" s="13">
        <v>134.86320000000001</v>
      </c>
      <c r="S16" s="40">
        <f t="shared" si="0"/>
        <v>16.857900000000001</v>
      </c>
      <c r="T16" s="13">
        <v>17397.892100000001</v>
      </c>
      <c r="U16" s="13">
        <f t="shared" si="1"/>
        <v>2174.7365125000001</v>
      </c>
      <c r="V16" s="13">
        <v>0.13170000000000001</v>
      </c>
      <c r="W16" s="13">
        <f t="shared" si="2"/>
        <v>7.902000000000001</v>
      </c>
    </row>
    <row r="17" spans="1:23" ht="45" customHeight="1" x14ac:dyDescent="0.15">
      <c r="A17" s="7" t="s">
        <v>21</v>
      </c>
      <c r="B17" s="7" t="s">
        <v>22</v>
      </c>
      <c r="C17" s="7" t="s">
        <v>41</v>
      </c>
      <c r="D17" s="8" t="s">
        <v>35</v>
      </c>
      <c r="E17" s="8" t="s">
        <v>25</v>
      </c>
      <c r="F17" s="9" t="s">
        <v>74</v>
      </c>
      <c r="G17" s="10">
        <v>8</v>
      </c>
      <c r="H17" s="11" t="s">
        <v>27</v>
      </c>
      <c r="I17" s="17" t="s">
        <v>43</v>
      </c>
      <c r="J17" s="42" t="s">
        <v>90</v>
      </c>
      <c r="K17" s="8" t="s">
        <v>38</v>
      </c>
      <c r="L17" s="8" t="s">
        <v>30</v>
      </c>
      <c r="M17" s="33">
        <v>0.9</v>
      </c>
      <c r="N17" s="10">
        <v>3.9990999999999999</v>
      </c>
      <c r="O17" s="8">
        <v>7881.2</v>
      </c>
      <c r="P17" s="13">
        <v>38.200000000000003</v>
      </c>
      <c r="Q17" s="13">
        <v>187.7233051</v>
      </c>
      <c r="R17" s="13">
        <v>87.2774</v>
      </c>
      <c r="S17" s="40">
        <f t="shared" si="0"/>
        <v>10.909675</v>
      </c>
      <c r="T17" s="13">
        <v>11259.1348</v>
      </c>
      <c r="U17" s="13">
        <f t="shared" si="1"/>
        <v>1407.39185</v>
      </c>
      <c r="V17" s="13">
        <v>8.5199999999999998E-2</v>
      </c>
      <c r="W17" s="13">
        <f t="shared" si="2"/>
        <v>5.1120000000000001</v>
      </c>
    </row>
    <row r="18" spans="1:23" ht="45" customHeight="1" x14ac:dyDescent="0.15">
      <c r="A18" s="7" t="s">
        <v>21</v>
      </c>
      <c r="B18" s="7" t="s">
        <v>22</v>
      </c>
      <c r="C18" s="7" t="s">
        <v>41</v>
      </c>
      <c r="D18" s="8" t="s">
        <v>39</v>
      </c>
      <c r="E18" s="8" t="s">
        <v>25</v>
      </c>
      <c r="F18" s="9" t="s">
        <v>74</v>
      </c>
      <c r="G18" s="10">
        <v>8</v>
      </c>
      <c r="H18" s="11" t="s">
        <v>27</v>
      </c>
      <c r="I18" s="17" t="s">
        <v>43</v>
      </c>
      <c r="J18" s="42" t="s">
        <v>90</v>
      </c>
      <c r="K18" s="8" t="s">
        <v>40</v>
      </c>
      <c r="L18" s="8" t="s">
        <v>30</v>
      </c>
      <c r="M18" s="32">
        <v>0.99</v>
      </c>
      <c r="N18" s="10">
        <v>1</v>
      </c>
      <c r="O18" s="8">
        <v>24797</v>
      </c>
      <c r="P18" s="13">
        <v>143.1</v>
      </c>
      <c r="Q18" s="13">
        <v>685.00707939999995</v>
      </c>
      <c r="R18" s="13">
        <v>5.9794999999999998</v>
      </c>
      <c r="S18" s="40">
        <f t="shared" si="0"/>
        <v>0.74743749999999998</v>
      </c>
      <c r="T18" s="13">
        <v>5985.5060000000003</v>
      </c>
      <c r="U18" s="13">
        <f t="shared" si="1"/>
        <v>748.18825000000004</v>
      </c>
      <c r="V18" s="13">
        <v>5.7999999999999996E-3</v>
      </c>
      <c r="W18" s="13">
        <f t="shared" si="2"/>
        <v>0.34799999999999998</v>
      </c>
    </row>
    <row r="19" spans="1:23" ht="45" customHeight="1" x14ac:dyDescent="0.1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</row>
    <row r="20" spans="1:23" ht="45" customHeight="1" x14ac:dyDescent="0.15">
      <c r="A20" s="18" t="s">
        <v>21</v>
      </c>
      <c r="B20" s="18" t="s">
        <v>22</v>
      </c>
      <c r="C20" s="19" t="s">
        <v>44</v>
      </c>
      <c r="D20" s="20" t="s">
        <v>24</v>
      </c>
      <c r="E20" s="20" t="s">
        <v>45</v>
      </c>
      <c r="F20" s="12" t="s">
        <v>44</v>
      </c>
      <c r="G20" s="10">
        <v>8</v>
      </c>
      <c r="H20" s="17" t="s">
        <v>46</v>
      </c>
      <c r="I20" s="27" t="s">
        <v>47</v>
      </c>
      <c r="J20" s="29" t="s">
        <v>102</v>
      </c>
      <c r="K20" s="20" t="s">
        <v>29</v>
      </c>
      <c r="L20" s="20" t="s">
        <v>30</v>
      </c>
      <c r="M20" s="21">
        <v>0</v>
      </c>
      <c r="N20" s="21">
        <v>22.419599999999999</v>
      </c>
      <c r="O20" s="21">
        <v>23885.8</v>
      </c>
      <c r="P20" s="21">
        <v>44.5</v>
      </c>
      <c r="Q20" s="21">
        <v>297.07900000000001</v>
      </c>
      <c r="R20" s="21">
        <v>330.90140000000002</v>
      </c>
      <c r="S20" s="21">
        <v>41.362675000000003</v>
      </c>
      <c r="T20" s="21">
        <v>2978.4656</v>
      </c>
      <c r="U20" s="21">
        <v>372.3082</v>
      </c>
      <c r="V20" s="21">
        <v>0.3231</v>
      </c>
      <c r="W20" s="21">
        <v>19.385999999999999</v>
      </c>
    </row>
    <row r="21" spans="1:23" ht="45" customHeight="1" x14ac:dyDescent="0.15">
      <c r="A21" s="18" t="s">
        <v>21</v>
      </c>
      <c r="B21" s="18" t="s">
        <v>22</v>
      </c>
      <c r="C21" s="19" t="s">
        <v>44</v>
      </c>
      <c r="D21" s="20" t="s">
        <v>35</v>
      </c>
      <c r="E21" s="20" t="s">
        <v>45</v>
      </c>
      <c r="F21" s="12" t="s">
        <v>44</v>
      </c>
      <c r="G21" s="10">
        <v>8</v>
      </c>
      <c r="H21" s="17" t="s">
        <v>46</v>
      </c>
      <c r="I21" s="27" t="s">
        <v>47</v>
      </c>
      <c r="J21" s="29" t="s">
        <v>102</v>
      </c>
      <c r="K21" s="20" t="s">
        <v>29</v>
      </c>
      <c r="L21" s="20" t="s">
        <v>30</v>
      </c>
      <c r="M21" s="21">
        <v>0</v>
      </c>
      <c r="N21" s="21">
        <v>1.9942</v>
      </c>
      <c r="O21" s="21">
        <v>1448.9</v>
      </c>
      <c r="P21" s="21">
        <v>25.6</v>
      </c>
      <c r="Q21" s="21">
        <v>111.01</v>
      </c>
      <c r="R21" s="21">
        <v>73.794899999999998</v>
      </c>
      <c r="S21" s="21">
        <v>9.2243624999999998</v>
      </c>
      <c r="T21" s="21">
        <v>664.44230000000005</v>
      </c>
      <c r="U21" s="21">
        <v>83.055287500000006</v>
      </c>
      <c r="V21" s="21">
        <v>7.2099999999999997E-2</v>
      </c>
      <c r="W21" s="21">
        <v>4.3259999999999996</v>
      </c>
    </row>
    <row r="22" spans="1:23" ht="45" customHeight="1" x14ac:dyDescent="0.15">
      <c r="A22" s="18" t="s">
        <v>21</v>
      </c>
      <c r="B22" s="18" t="s">
        <v>22</v>
      </c>
      <c r="C22" s="19" t="s">
        <v>44</v>
      </c>
      <c r="D22" s="20" t="s">
        <v>24</v>
      </c>
      <c r="E22" s="20" t="s">
        <v>45</v>
      </c>
      <c r="F22" s="12" t="s">
        <v>44</v>
      </c>
      <c r="G22" s="10">
        <v>8</v>
      </c>
      <c r="H22" s="17" t="s">
        <v>46</v>
      </c>
      <c r="I22" s="27" t="s">
        <v>47</v>
      </c>
      <c r="J22" s="29" t="s">
        <v>103</v>
      </c>
      <c r="K22" s="20" t="s">
        <v>37</v>
      </c>
      <c r="L22" s="20" t="s">
        <v>30</v>
      </c>
      <c r="M22" s="21">
        <v>0</v>
      </c>
      <c r="N22" s="21">
        <v>7.7876000000000003</v>
      </c>
      <c r="O22" s="21">
        <v>8929.5</v>
      </c>
      <c r="P22" s="21">
        <v>49.1</v>
      </c>
      <c r="Q22" s="21">
        <v>243.16499999999999</v>
      </c>
      <c r="R22" s="21">
        <v>134.75579999999999</v>
      </c>
      <c r="S22" s="21">
        <v>16.844474999999999</v>
      </c>
      <c r="T22" s="21">
        <v>4447.4687000000004</v>
      </c>
      <c r="U22" s="21">
        <v>555.93358750000004</v>
      </c>
      <c r="V22" s="21">
        <v>0.13159999999999999</v>
      </c>
      <c r="W22" s="21">
        <v>7.8959999999999999</v>
      </c>
    </row>
    <row r="23" spans="1:23" ht="45" customHeight="1" x14ac:dyDescent="0.15">
      <c r="A23" s="18" t="s">
        <v>21</v>
      </c>
      <c r="B23" s="18" t="s">
        <v>22</v>
      </c>
      <c r="C23" s="19" t="s">
        <v>44</v>
      </c>
      <c r="D23" s="20" t="s">
        <v>35</v>
      </c>
      <c r="E23" s="20" t="s">
        <v>45</v>
      </c>
      <c r="F23" s="12" t="s">
        <v>44</v>
      </c>
      <c r="G23" s="10">
        <v>8</v>
      </c>
      <c r="H23" s="17" t="s">
        <v>46</v>
      </c>
      <c r="I23" s="27" t="s">
        <v>47</v>
      </c>
      <c r="J23" s="29" t="s">
        <v>103</v>
      </c>
      <c r="K23" s="20" t="s">
        <v>37</v>
      </c>
      <c r="L23" s="20" t="s">
        <v>30</v>
      </c>
      <c r="M23" s="21">
        <v>0</v>
      </c>
      <c r="N23" s="21">
        <v>1</v>
      </c>
      <c r="O23" s="21">
        <v>4020.5</v>
      </c>
      <c r="P23" s="21">
        <v>24.9</v>
      </c>
      <c r="Q23" s="21">
        <v>58.975999999999999</v>
      </c>
      <c r="R23" s="21">
        <v>34.7254</v>
      </c>
      <c r="S23" s="21">
        <v>4.3406750000000001</v>
      </c>
      <c r="T23" s="21">
        <v>1146.0742</v>
      </c>
      <c r="U23" s="21">
        <v>143.259275</v>
      </c>
      <c r="V23" s="21">
        <v>3.39E-2</v>
      </c>
      <c r="W23" s="21">
        <v>2.0339999999999998</v>
      </c>
    </row>
    <row r="24" spans="1:23" ht="45" customHeight="1" x14ac:dyDescent="0.15">
      <c r="A24" s="18" t="s">
        <v>21</v>
      </c>
      <c r="B24" s="18" t="s">
        <v>22</v>
      </c>
      <c r="C24" s="19" t="s">
        <v>44</v>
      </c>
      <c r="D24" s="20" t="s">
        <v>24</v>
      </c>
      <c r="E24" s="20" t="s">
        <v>45</v>
      </c>
      <c r="F24" s="12" t="s">
        <v>44</v>
      </c>
      <c r="G24" s="10">
        <v>8</v>
      </c>
      <c r="H24" s="17" t="s">
        <v>46</v>
      </c>
      <c r="I24" s="27" t="s">
        <v>47</v>
      </c>
      <c r="J24" s="29" t="s">
        <v>103</v>
      </c>
      <c r="K24" s="20" t="s">
        <v>38</v>
      </c>
      <c r="L24" s="20" t="s">
        <v>30</v>
      </c>
      <c r="M24" s="36">
        <v>0</v>
      </c>
      <c r="N24" s="21">
        <v>1.9315</v>
      </c>
      <c r="O24" s="21">
        <v>18594.8</v>
      </c>
      <c r="P24" s="21">
        <v>48.6</v>
      </c>
      <c r="Q24" s="21">
        <v>141.40700000000001</v>
      </c>
      <c r="R24" s="21">
        <v>28.966000000000001</v>
      </c>
      <c r="S24" s="21">
        <v>3.6207500000000001</v>
      </c>
      <c r="T24" s="21">
        <v>3736.7309</v>
      </c>
      <c r="U24" s="21">
        <v>467.0913625</v>
      </c>
      <c r="V24" s="21">
        <v>2.8299999999999999E-2</v>
      </c>
      <c r="W24" s="21">
        <v>1.698</v>
      </c>
    </row>
    <row r="25" spans="1:23" s="49" customFormat="1" ht="45" customHeight="1" x14ac:dyDescent="0.15">
      <c r="A25" s="7" t="s">
        <v>21</v>
      </c>
      <c r="B25" s="7" t="s">
        <v>22</v>
      </c>
      <c r="C25" s="12" t="s">
        <v>44</v>
      </c>
      <c r="D25" s="8" t="s">
        <v>24</v>
      </c>
      <c r="E25" s="8" t="s">
        <v>45</v>
      </c>
      <c r="F25" s="12" t="s">
        <v>44</v>
      </c>
      <c r="G25" s="10">
        <v>8</v>
      </c>
      <c r="H25" s="17" t="s">
        <v>46</v>
      </c>
      <c r="I25" s="27" t="s">
        <v>47</v>
      </c>
      <c r="J25" s="29" t="s">
        <v>104</v>
      </c>
      <c r="K25" s="8" t="s">
        <v>38</v>
      </c>
      <c r="L25" s="8" t="s">
        <v>30</v>
      </c>
      <c r="M25" s="47">
        <v>0.9</v>
      </c>
      <c r="N25" s="48">
        <v>9.8301999999999996</v>
      </c>
      <c r="O25" s="48">
        <v>10171.9</v>
      </c>
      <c r="P25" s="48">
        <v>52.5</v>
      </c>
      <c r="Q25" s="48">
        <v>259.73399999999998</v>
      </c>
      <c r="R25" s="48">
        <v>157.69970000000001</v>
      </c>
      <c r="S25" s="48">
        <v>19.712462500000001</v>
      </c>
      <c r="T25" s="48">
        <v>20186.1754</v>
      </c>
      <c r="U25" s="48">
        <v>2523.271925</v>
      </c>
      <c r="V25" s="48">
        <v>0.154</v>
      </c>
      <c r="W25" s="48">
        <v>9.24</v>
      </c>
    </row>
    <row r="26" spans="1:23" s="49" customFormat="1" ht="45" customHeight="1" x14ac:dyDescent="0.15">
      <c r="A26" s="7" t="s">
        <v>21</v>
      </c>
      <c r="B26" s="7" t="s">
        <v>22</v>
      </c>
      <c r="C26" s="12" t="s">
        <v>44</v>
      </c>
      <c r="D26" s="8" t="s">
        <v>35</v>
      </c>
      <c r="E26" s="8" t="s">
        <v>45</v>
      </c>
      <c r="F26" s="12" t="s">
        <v>44</v>
      </c>
      <c r="G26" s="10">
        <v>8</v>
      </c>
      <c r="H26" s="17" t="s">
        <v>46</v>
      </c>
      <c r="I26" s="27" t="s">
        <v>47</v>
      </c>
      <c r="J26" s="29" t="s">
        <v>103</v>
      </c>
      <c r="K26" s="8" t="s">
        <v>38</v>
      </c>
      <c r="L26" s="8" t="s">
        <v>30</v>
      </c>
      <c r="M26" s="50">
        <v>0</v>
      </c>
      <c r="N26" s="45">
        <v>0.99990000000000001</v>
      </c>
      <c r="O26" s="45">
        <v>15876.4</v>
      </c>
      <c r="P26" s="45">
        <v>31</v>
      </c>
      <c r="Q26" s="45">
        <v>190.226</v>
      </c>
      <c r="R26" s="45">
        <v>21.532299999999999</v>
      </c>
      <c r="S26" s="45">
        <v>2.6915374999999999</v>
      </c>
      <c r="T26" s="45">
        <v>2777.7478999999998</v>
      </c>
      <c r="U26" s="45">
        <v>347.21848749999998</v>
      </c>
      <c r="V26" s="45">
        <v>2.1000000000000001E-2</v>
      </c>
      <c r="W26" s="45">
        <v>1.26</v>
      </c>
    </row>
    <row r="27" spans="1:23" s="49" customFormat="1" ht="45" customHeight="1" x14ac:dyDescent="0.15">
      <c r="A27" s="7" t="s">
        <v>21</v>
      </c>
      <c r="B27" s="7" t="s">
        <v>22</v>
      </c>
      <c r="C27" s="12" t="s">
        <v>44</v>
      </c>
      <c r="D27" s="8" t="s">
        <v>35</v>
      </c>
      <c r="E27" s="8" t="s">
        <v>45</v>
      </c>
      <c r="F27" s="12" t="s">
        <v>44</v>
      </c>
      <c r="G27" s="10">
        <v>8</v>
      </c>
      <c r="H27" s="17" t="s">
        <v>46</v>
      </c>
      <c r="I27" s="27" t="s">
        <v>47</v>
      </c>
      <c r="J27" s="29" t="s">
        <v>104</v>
      </c>
      <c r="K27" s="8" t="s">
        <v>38</v>
      </c>
      <c r="L27" s="8" t="s">
        <v>30</v>
      </c>
      <c r="M27" s="47">
        <v>0.9</v>
      </c>
      <c r="N27" s="48">
        <v>0.99980000000000002</v>
      </c>
      <c r="O27" s="48">
        <v>4430.3</v>
      </c>
      <c r="P27" s="48">
        <v>26.5</v>
      </c>
      <c r="Q27" s="48">
        <v>126.19199999999999</v>
      </c>
      <c r="R27" s="48">
        <v>32.458300000000001</v>
      </c>
      <c r="S27" s="48">
        <v>4.0572875000000002</v>
      </c>
      <c r="T27" s="48">
        <v>4187.2533000000003</v>
      </c>
      <c r="U27" s="48">
        <v>523.40666250000004</v>
      </c>
      <c r="V27" s="48">
        <v>3.1699999999999999E-2</v>
      </c>
      <c r="W27" s="48">
        <v>1.9019999999999999</v>
      </c>
    </row>
    <row r="28" spans="1:23" ht="45" customHeight="1" x14ac:dyDescent="0.15">
      <c r="A28" s="18" t="s">
        <v>21</v>
      </c>
      <c r="B28" s="18" t="s">
        <v>22</v>
      </c>
      <c r="C28" s="19" t="s">
        <v>44</v>
      </c>
      <c r="D28" s="20" t="s">
        <v>39</v>
      </c>
      <c r="E28" s="20" t="s">
        <v>45</v>
      </c>
      <c r="F28" s="12" t="s">
        <v>44</v>
      </c>
      <c r="G28" s="10">
        <v>8</v>
      </c>
      <c r="H28" s="17" t="s">
        <v>46</v>
      </c>
      <c r="I28" s="27" t="s">
        <v>47</v>
      </c>
      <c r="J28" s="29" t="s">
        <v>105</v>
      </c>
      <c r="K28" s="18" t="s">
        <v>48</v>
      </c>
      <c r="L28" s="20" t="s">
        <v>30</v>
      </c>
      <c r="M28" s="37">
        <v>0.99</v>
      </c>
      <c r="N28" s="21">
        <v>0.99990000000000001</v>
      </c>
      <c r="O28" s="21">
        <v>25906</v>
      </c>
      <c r="P28" s="21">
        <v>171.1</v>
      </c>
      <c r="Q28" s="21">
        <v>401.99</v>
      </c>
      <c r="R28" s="21">
        <v>5.0945999999999998</v>
      </c>
      <c r="S28" s="21">
        <v>0.63682499999999997</v>
      </c>
      <c r="T28" s="21">
        <v>5201.6535999999996</v>
      </c>
      <c r="U28" s="21">
        <v>650.20669999999996</v>
      </c>
      <c r="V28" s="21">
        <v>5.0000000000000001E-3</v>
      </c>
      <c r="W28" s="21">
        <v>0.3</v>
      </c>
    </row>
    <row r="29" spans="1:23" ht="45" customHeight="1" x14ac:dyDescent="0.15">
      <c r="A29" s="7" t="s">
        <v>21</v>
      </c>
      <c r="B29" s="7" t="s">
        <v>22</v>
      </c>
      <c r="C29" s="12" t="s">
        <v>49</v>
      </c>
      <c r="D29" s="8" t="s">
        <v>24</v>
      </c>
      <c r="E29" s="8" t="s">
        <v>45</v>
      </c>
      <c r="F29" s="12" t="s">
        <v>50</v>
      </c>
      <c r="G29" s="10">
        <v>64</v>
      </c>
      <c r="H29" s="17" t="s">
        <v>46</v>
      </c>
      <c r="I29" s="29" t="s">
        <v>109</v>
      </c>
      <c r="J29" s="29" t="s">
        <v>106</v>
      </c>
      <c r="K29" s="7" t="s">
        <v>29</v>
      </c>
      <c r="L29" s="8" t="s">
        <v>30</v>
      </c>
      <c r="M29" s="45">
        <v>0</v>
      </c>
      <c r="N29" s="46">
        <v>625.81730000000005</v>
      </c>
      <c r="O29" s="45">
        <v>18298.099999999999</v>
      </c>
      <c r="P29" s="45">
        <v>44.6</v>
      </c>
      <c r="Q29" s="45">
        <v>286.11</v>
      </c>
      <c r="R29" s="21">
        <v>10021.3176</v>
      </c>
      <c r="S29" s="21">
        <v>156.5830875</v>
      </c>
      <c r="T29" s="21">
        <v>90231.490399999995</v>
      </c>
      <c r="U29" s="21">
        <v>1409.8670374999999</v>
      </c>
      <c r="V29" s="21">
        <v>9.7864000000000004</v>
      </c>
      <c r="W29" s="21">
        <v>587.18399999999997</v>
      </c>
    </row>
    <row r="30" spans="1:23" ht="45" customHeight="1" x14ac:dyDescent="0.15">
      <c r="A30" s="7" t="s">
        <v>21</v>
      </c>
      <c r="B30" s="7" t="s">
        <v>22</v>
      </c>
      <c r="C30" s="12" t="s">
        <v>52</v>
      </c>
      <c r="D30" s="8" t="s">
        <v>35</v>
      </c>
      <c r="E30" s="8" t="s">
        <v>45</v>
      </c>
      <c r="F30" s="12" t="s">
        <v>50</v>
      </c>
      <c r="G30" s="10">
        <v>64</v>
      </c>
      <c r="H30" s="17" t="s">
        <v>46</v>
      </c>
      <c r="I30" s="29" t="s">
        <v>51</v>
      </c>
      <c r="J30" s="29" t="s">
        <v>106</v>
      </c>
      <c r="K30" s="8" t="s">
        <v>29</v>
      </c>
      <c r="L30" s="8" t="s">
        <v>30</v>
      </c>
      <c r="M30" s="45">
        <v>0</v>
      </c>
      <c r="N30" s="48">
        <v>14.5</v>
      </c>
      <c r="O30" s="48">
        <v>5707.9</v>
      </c>
      <c r="P30" s="48">
        <v>29</v>
      </c>
      <c r="Q30" s="48">
        <v>35.5</v>
      </c>
      <c r="R30" s="22">
        <v>419</v>
      </c>
      <c r="S30" s="22">
        <v>6.546875</v>
      </c>
      <c r="T30" s="22">
        <v>3772.3</v>
      </c>
      <c r="U30" s="22">
        <v>58.942187500000003</v>
      </c>
      <c r="V30" s="22">
        <v>0.41</v>
      </c>
      <c r="W30" s="22">
        <v>24.6</v>
      </c>
    </row>
    <row r="31" spans="1:23" ht="45" customHeight="1" x14ac:dyDescent="0.15">
      <c r="A31" s="7" t="s">
        <v>21</v>
      </c>
      <c r="B31" s="7" t="s">
        <v>22</v>
      </c>
      <c r="C31" s="12" t="s">
        <v>49</v>
      </c>
      <c r="D31" s="8" t="s">
        <v>24</v>
      </c>
      <c r="E31" s="8" t="s">
        <v>45</v>
      </c>
      <c r="F31" s="12" t="s">
        <v>50</v>
      </c>
      <c r="G31" s="10">
        <v>64</v>
      </c>
      <c r="H31" s="17" t="s">
        <v>46</v>
      </c>
      <c r="I31" s="29" t="s">
        <v>51</v>
      </c>
      <c r="J31" s="29" t="s">
        <v>106</v>
      </c>
      <c r="K31" s="8" t="s">
        <v>37</v>
      </c>
      <c r="L31" s="8" t="s">
        <v>30</v>
      </c>
      <c r="M31" s="45">
        <v>0</v>
      </c>
      <c r="N31" s="48">
        <v>207.8674</v>
      </c>
      <c r="O31" s="48">
        <v>42562</v>
      </c>
      <c r="P31" s="48">
        <v>32.1</v>
      </c>
      <c r="Q31" s="48">
        <v>348.33499999999998</v>
      </c>
      <c r="R31" s="22">
        <v>2822.1028999999999</v>
      </c>
      <c r="S31" s="22">
        <v>44.095357812499998</v>
      </c>
      <c r="T31" s="22">
        <v>93102.9084</v>
      </c>
      <c r="U31" s="22">
        <v>1454.73294375</v>
      </c>
      <c r="V31" s="22">
        <v>2.7559999999999998</v>
      </c>
      <c r="W31" s="22">
        <v>165.36</v>
      </c>
    </row>
    <row r="32" spans="1:23" ht="45" customHeight="1" x14ac:dyDescent="0.15">
      <c r="A32" s="7" t="s">
        <v>21</v>
      </c>
      <c r="B32" s="7" t="s">
        <v>22</v>
      </c>
      <c r="C32" s="12" t="s">
        <v>49</v>
      </c>
      <c r="D32" s="8" t="s">
        <v>35</v>
      </c>
      <c r="E32" s="8" t="s">
        <v>45</v>
      </c>
      <c r="F32" s="12" t="s">
        <v>50</v>
      </c>
      <c r="G32" s="10">
        <v>64</v>
      </c>
      <c r="H32" s="17" t="s">
        <v>46</v>
      </c>
      <c r="I32" s="29" t="s">
        <v>51</v>
      </c>
      <c r="J32" s="29" t="s">
        <v>106</v>
      </c>
      <c r="K32" s="8" t="s">
        <v>37</v>
      </c>
      <c r="L32" s="8" t="s">
        <v>30</v>
      </c>
      <c r="M32" s="45">
        <v>0</v>
      </c>
      <c r="N32" s="48">
        <v>15.369899999999999</v>
      </c>
      <c r="O32" s="48">
        <v>15403.1</v>
      </c>
      <c r="P32" s="48">
        <v>29.7</v>
      </c>
      <c r="Q32" s="48">
        <v>190.82400000000001</v>
      </c>
      <c r="R32" s="22">
        <v>343.43599999999998</v>
      </c>
      <c r="S32" s="22">
        <v>5.3661874999999997</v>
      </c>
      <c r="T32" s="22">
        <v>11332.8624</v>
      </c>
      <c r="U32" s="22">
        <v>177.075975</v>
      </c>
      <c r="V32" s="22">
        <v>0.33539999999999998</v>
      </c>
      <c r="W32" s="22">
        <v>20.123999999999999</v>
      </c>
    </row>
    <row r="33" spans="1:23" ht="45" customHeight="1" x14ac:dyDescent="0.15">
      <c r="A33" s="7" t="s">
        <v>21</v>
      </c>
      <c r="B33" s="7" t="s">
        <v>22</v>
      </c>
      <c r="C33" s="12" t="s">
        <v>49</v>
      </c>
      <c r="D33" s="8" t="s">
        <v>24</v>
      </c>
      <c r="E33" s="8" t="s">
        <v>45</v>
      </c>
      <c r="F33" s="12" t="s">
        <v>50</v>
      </c>
      <c r="G33" s="10">
        <v>64</v>
      </c>
      <c r="H33" s="17" t="s">
        <v>46</v>
      </c>
      <c r="I33" s="29" t="s">
        <v>51</v>
      </c>
      <c r="J33" s="29" t="s">
        <v>106</v>
      </c>
      <c r="K33" s="8" t="s">
        <v>38</v>
      </c>
      <c r="L33" s="8" t="s">
        <v>30</v>
      </c>
      <c r="M33" s="50">
        <v>0</v>
      </c>
      <c r="N33" s="48">
        <v>222.13300000000001</v>
      </c>
      <c r="O33" s="48">
        <v>290044.40000000002</v>
      </c>
      <c r="P33" s="48">
        <v>30.9</v>
      </c>
      <c r="Q33" s="48">
        <v>1478.2560000000001</v>
      </c>
      <c r="R33" s="22">
        <v>707.25059999999996</v>
      </c>
      <c r="S33" s="22">
        <v>11.050790624999999</v>
      </c>
      <c r="T33" s="22">
        <v>91196.705799999996</v>
      </c>
      <c r="U33" s="22">
        <v>1424.9485281249999</v>
      </c>
      <c r="V33" s="22">
        <v>0.69069999999999998</v>
      </c>
      <c r="W33" s="22">
        <v>41.442</v>
      </c>
    </row>
    <row r="34" spans="1:23" s="44" customFormat="1" ht="45" customHeight="1" x14ac:dyDescent="0.15">
      <c r="A34" s="7" t="s">
        <v>21</v>
      </c>
      <c r="B34" s="7" t="s">
        <v>22</v>
      </c>
      <c r="C34" s="12" t="s">
        <v>49</v>
      </c>
      <c r="D34" s="8" t="s">
        <v>24</v>
      </c>
      <c r="E34" s="8" t="s">
        <v>45</v>
      </c>
      <c r="F34" s="12" t="s">
        <v>50</v>
      </c>
      <c r="G34" s="10">
        <v>64</v>
      </c>
      <c r="H34" s="17" t="s">
        <v>46</v>
      </c>
      <c r="I34" s="29" t="s">
        <v>51</v>
      </c>
      <c r="J34" s="29" t="s">
        <v>107</v>
      </c>
      <c r="K34" s="8" t="s">
        <v>38</v>
      </c>
      <c r="L34" s="8" t="s">
        <v>30</v>
      </c>
      <c r="M34" s="47">
        <v>0.9</v>
      </c>
      <c r="N34" s="17">
        <v>226.4973</v>
      </c>
      <c r="O34" s="17">
        <v>285285.5</v>
      </c>
      <c r="P34" s="17">
        <v>30.8</v>
      </c>
      <c r="Q34" s="17">
        <v>421.3</v>
      </c>
      <c r="R34" s="17">
        <v>732.01530000000002</v>
      </c>
      <c r="S34" s="17">
        <v>11.4377390625</v>
      </c>
      <c r="T34" s="17">
        <v>94432.882899999997</v>
      </c>
      <c r="U34" s="17">
        <v>1475.5137953125</v>
      </c>
      <c r="V34" s="17">
        <v>0.71489999999999998</v>
      </c>
      <c r="W34" s="17">
        <v>42.893999999999998</v>
      </c>
    </row>
    <row r="35" spans="1:23" ht="45" customHeight="1" x14ac:dyDescent="0.15">
      <c r="A35" s="7" t="s">
        <v>21</v>
      </c>
      <c r="B35" s="7" t="s">
        <v>22</v>
      </c>
      <c r="C35" s="12" t="s">
        <v>49</v>
      </c>
      <c r="D35" s="8" t="s">
        <v>35</v>
      </c>
      <c r="E35" s="8" t="s">
        <v>45</v>
      </c>
      <c r="F35" s="12" t="s">
        <v>50</v>
      </c>
      <c r="G35" s="10">
        <v>64</v>
      </c>
      <c r="H35" s="17" t="s">
        <v>46</v>
      </c>
      <c r="I35" s="29" t="s">
        <v>51</v>
      </c>
      <c r="J35" s="29" t="s">
        <v>106</v>
      </c>
      <c r="K35" s="8" t="s">
        <v>38</v>
      </c>
      <c r="L35" s="8" t="s">
        <v>30</v>
      </c>
      <c r="M35" s="50">
        <v>0</v>
      </c>
      <c r="N35" s="48">
        <v>41.191600000000001</v>
      </c>
      <c r="O35" s="48">
        <v>63258.3</v>
      </c>
      <c r="P35" s="48">
        <v>31</v>
      </c>
      <c r="Q35" s="48">
        <v>442.83100000000002</v>
      </c>
      <c r="R35" s="22">
        <v>443.97949999999997</v>
      </c>
      <c r="S35" s="22">
        <v>6.9371796874999996</v>
      </c>
      <c r="T35" s="22">
        <v>57246.840499999998</v>
      </c>
      <c r="U35" s="22">
        <v>894.48188281249998</v>
      </c>
      <c r="V35" s="22">
        <v>0.43359999999999999</v>
      </c>
      <c r="W35" s="22">
        <v>26.015999999999998</v>
      </c>
    </row>
    <row r="36" spans="1:23" ht="45" customHeight="1" x14ac:dyDescent="0.15">
      <c r="A36" s="7" t="s">
        <v>21</v>
      </c>
      <c r="B36" s="58" t="s">
        <v>22</v>
      </c>
      <c r="C36" s="59" t="s">
        <v>49</v>
      </c>
      <c r="D36" s="8" t="s">
        <v>39</v>
      </c>
      <c r="E36" s="8" t="s">
        <v>45</v>
      </c>
      <c r="F36" s="12" t="s">
        <v>110</v>
      </c>
      <c r="G36" s="10">
        <v>64</v>
      </c>
      <c r="H36" s="17" t="s">
        <v>46</v>
      </c>
      <c r="I36" s="29" t="s">
        <v>111</v>
      </c>
      <c r="J36" s="29" t="s">
        <v>108</v>
      </c>
      <c r="K36" s="8" t="s">
        <v>40</v>
      </c>
      <c r="L36" s="8" t="s">
        <v>30</v>
      </c>
      <c r="M36" s="51">
        <v>0.99</v>
      </c>
      <c r="N36" s="17">
        <v>1</v>
      </c>
      <c r="O36" s="17">
        <v>29811.5</v>
      </c>
      <c r="P36" s="17">
        <v>35.700000000000003</v>
      </c>
      <c r="Q36" s="17">
        <v>66.400000000000006</v>
      </c>
      <c r="R36" s="17">
        <v>15.4</v>
      </c>
      <c r="S36" s="17">
        <v>0.24062500000000001</v>
      </c>
      <c r="T36" s="17">
        <v>15425.5</v>
      </c>
      <c r="U36" s="17">
        <v>241.0234375</v>
      </c>
      <c r="V36" s="17">
        <v>1.4999999999999999E-2</v>
      </c>
      <c r="W36" s="17">
        <v>0.9</v>
      </c>
    </row>
  </sheetData>
  <autoFilter ref="A1:W1" xr:uid="{00000000-0001-0000-0000-000000000000}"/>
  <mergeCells count="1">
    <mergeCell ref="A19:W19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X34"/>
  <sheetViews>
    <sheetView tabSelected="1" zoomScale="55" zoomScaleNormal="55" workbookViewId="0">
      <pane ySplit="1" topLeftCell="A8" activePane="bottomLeft" state="frozen"/>
      <selection pane="bottomLeft" activeCell="L34" sqref="A18:L34"/>
    </sheetView>
  </sheetViews>
  <sheetFormatPr defaultRowHeight="13.5" x14ac:dyDescent="0.15"/>
  <cols>
    <col min="1" max="2" width="17.75" customWidth="1"/>
    <col min="3" max="3" width="13.875" customWidth="1"/>
    <col min="4" max="4" width="11.375" customWidth="1"/>
    <col min="5" max="5" width="22" customWidth="1"/>
    <col min="6" max="6" width="23.125" customWidth="1"/>
    <col min="7" max="12" width="17.75" customWidth="1"/>
    <col min="13" max="14" width="17.75" style="30" customWidth="1"/>
    <col min="15" max="23" width="17.75" customWidth="1"/>
    <col min="24" max="24" width="33.625" customWidth="1"/>
  </cols>
  <sheetData>
    <row r="1" spans="1:24" ht="30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91</v>
      </c>
      <c r="K1" s="1" t="s">
        <v>9</v>
      </c>
      <c r="L1" s="1" t="s">
        <v>10</v>
      </c>
      <c r="M1" s="3" t="s">
        <v>53</v>
      </c>
      <c r="N1" s="2" t="s">
        <v>77</v>
      </c>
      <c r="O1" s="1" t="s">
        <v>13</v>
      </c>
      <c r="P1" s="4" t="s">
        <v>54</v>
      </c>
      <c r="Q1" s="5" t="s">
        <v>15</v>
      </c>
      <c r="R1" s="5" t="s">
        <v>55</v>
      </c>
      <c r="S1" s="4" t="s">
        <v>75</v>
      </c>
      <c r="T1" s="5" t="s">
        <v>17</v>
      </c>
      <c r="U1" s="5" t="s">
        <v>18</v>
      </c>
      <c r="V1" s="5" t="s">
        <v>19</v>
      </c>
      <c r="W1" s="6" t="s">
        <v>20</v>
      </c>
      <c r="X1" s="23"/>
    </row>
    <row r="2" spans="1:24" ht="45.95" customHeight="1" x14ac:dyDescent="0.15">
      <c r="A2" s="7" t="s">
        <v>56</v>
      </c>
      <c r="B2" s="7" t="s">
        <v>22</v>
      </c>
      <c r="C2" s="7" t="s">
        <v>23</v>
      </c>
      <c r="D2" s="8" t="s">
        <v>24</v>
      </c>
      <c r="E2" s="8" t="s">
        <v>25</v>
      </c>
      <c r="F2" s="16" t="s">
        <v>57</v>
      </c>
      <c r="G2" s="10">
        <v>64</v>
      </c>
      <c r="H2" s="17" t="s">
        <v>58</v>
      </c>
      <c r="I2" s="24" t="s">
        <v>59</v>
      </c>
      <c r="J2" s="43" t="s">
        <v>92</v>
      </c>
      <c r="K2" s="8" t="s">
        <v>29</v>
      </c>
      <c r="L2" s="8" t="s">
        <v>30</v>
      </c>
      <c r="M2" s="31">
        <v>0</v>
      </c>
      <c r="N2" s="10">
        <v>96.154899999999998</v>
      </c>
      <c r="O2" s="8">
        <v>6792.1</v>
      </c>
      <c r="P2" s="13">
        <v>50.6</v>
      </c>
      <c r="Q2" s="13">
        <v>311.98399999999998</v>
      </c>
      <c r="R2" s="13">
        <v>1680.4935</v>
      </c>
      <c r="S2" s="14">
        <f t="shared" ref="S2:S8" si="0">R2/G2</f>
        <v>26.257710937500001</v>
      </c>
      <c r="T2" s="13">
        <v>15126.313099999999</v>
      </c>
      <c r="U2" s="13">
        <f>T2/G2</f>
        <v>236.34864218749999</v>
      </c>
      <c r="V2" s="13">
        <v>1.6411</v>
      </c>
      <c r="W2" s="13">
        <f t="shared" ref="W2:W16" si="1">V2*60</f>
        <v>98.465999999999994</v>
      </c>
      <c r="X2" s="23"/>
    </row>
    <row r="3" spans="1:24" ht="45.95" customHeight="1" x14ac:dyDescent="0.15">
      <c r="A3" s="7" t="s">
        <v>56</v>
      </c>
      <c r="B3" s="7" t="s">
        <v>22</v>
      </c>
      <c r="C3" s="7" t="s">
        <v>23</v>
      </c>
      <c r="D3" s="8" t="s">
        <v>24</v>
      </c>
      <c r="E3" s="8" t="s">
        <v>25</v>
      </c>
      <c r="F3" s="15" t="s">
        <v>60</v>
      </c>
      <c r="G3" s="10">
        <v>32</v>
      </c>
      <c r="H3" s="17" t="s">
        <v>58</v>
      </c>
      <c r="I3" s="24" t="s">
        <v>59</v>
      </c>
      <c r="J3" s="43" t="s">
        <v>93</v>
      </c>
      <c r="K3" s="8" t="s">
        <v>29</v>
      </c>
      <c r="L3" s="8" t="s">
        <v>30</v>
      </c>
      <c r="M3" s="31">
        <v>0</v>
      </c>
      <c r="N3" s="10">
        <v>95.349800000000002</v>
      </c>
      <c r="O3" s="8">
        <v>9428.7000000000007</v>
      </c>
      <c r="P3" s="13">
        <v>54.9</v>
      </c>
      <c r="Q3" s="13">
        <v>352.29676439999997</v>
      </c>
      <c r="R3" s="13">
        <v>1488.1999000000001</v>
      </c>
      <c r="S3" s="14">
        <f t="shared" si="0"/>
        <v>46.506246875000002</v>
      </c>
      <c r="T3" s="13">
        <v>13399.6093</v>
      </c>
      <c r="U3" s="13">
        <f>T3/32</f>
        <v>418.737790625</v>
      </c>
      <c r="V3" s="13">
        <v>1.4533</v>
      </c>
      <c r="W3" s="13">
        <f t="shared" si="1"/>
        <v>87.198000000000008</v>
      </c>
      <c r="X3" s="23"/>
    </row>
    <row r="4" spans="1:24" ht="45.95" customHeight="1" x14ac:dyDescent="0.15">
      <c r="A4" s="7" t="s">
        <v>56</v>
      </c>
      <c r="B4" s="7" t="s">
        <v>22</v>
      </c>
      <c r="C4" s="7" t="s">
        <v>23</v>
      </c>
      <c r="D4" s="8" t="s">
        <v>35</v>
      </c>
      <c r="E4" s="8" t="s">
        <v>25</v>
      </c>
      <c r="F4" s="16" t="s">
        <v>57</v>
      </c>
      <c r="G4" s="10">
        <v>64</v>
      </c>
      <c r="H4" s="17" t="s">
        <v>58</v>
      </c>
      <c r="I4" s="24" t="s">
        <v>61</v>
      </c>
      <c r="J4" s="43" t="s">
        <v>92</v>
      </c>
      <c r="K4" s="8" t="s">
        <v>29</v>
      </c>
      <c r="L4" s="8" t="s">
        <v>30</v>
      </c>
      <c r="M4" s="32">
        <v>0</v>
      </c>
      <c r="N4" s="10">
        <v>13.0684</v>
      </c>
      <c r="O4" s="8">
        <v>3130.3</v>
      </c>
      <c r="P4" s="13">
        <v>40.799999999999997</v>
      </c>
      <c r="Q4" s="13">
        <v>219.49100000000001</v>
      </c>
      <c r="R4" s="13">
        <v>298.5806</v>
      </c>
      <c r="S4" s="14">
        <f t="shared" si="0"/>
        <v>4.6653218750000001</v>
      </c>
      <c r="T4" s="13">
        <v>2687.9863</v>
      </c>
      <c r="U4" s="13">
        <f t="shared" ref="U4:U16" si="2">T4/G4</f>
        <v>41.9997859375</v>
      </c>
      <c r="V4" s="13">
        <v>0.29160000000000003</v>
      </c>
      <c r="W4" s="13">
        <f t="shared" si="1"/>
        <v>17.496000000000002</v>
      </c>
      <c r="X4" s="23"/>
    </row>
    <row r="5" spans="1:24" ht="45.95" customHeight="1" x14ac:dyDescent="0.15">
      <c r="A5" s="7" t="s">
        <v>56</v>
      </c>
      <c r="B5" s="7" t="s">
        <v>22</v>
      </c>
      <c r="C5" s="7" t="s">
        <v>23</v>
      </c>
      <c r="D5" s="8" t="s">
        <v>24</v>
      </c>
      <c r="E5" s="8" t="s">
        <v>25</v>
      </c>
      <c r="F5" s="16" t="s">
        <v>57</v>
      </c>
      <c r="G5" s="10">
        <v>64</v>
      </c>
      <c r="H5" s="17" t="s">
        <v>58</v>
      </c>
      <c r="I5" s="24" t="s">
        <v>61</v>
      </c>
      <c r="J5" s="43" t="s">
        <v>92</v>
      </c>
      <c r="K5" s="8" t="s">
        <v>37</v>
      </c>
      <c r="L5" s="8" t="s">
        <v>30</v>
      </c>
      <c r="M5" s="32">
        <v>0</v>
      </c>
      <c r="N5" s="38">
        <v>37.2072</v>
      </c>
      <c r="O5" s="8">
        <v>14080</v>
      </c>
      <c r="P5" s="13">
        <v>48.6</v>
      </c>
      <c r="Q5" s="13">
        <v>329.09800000000001</v>
      </c>
      <c r="R5" s="13">
        <v>597.41399999999999</v>
      </c>
      <c r="S5" s="14">
        <f t="shared" si="0"/>
        <v>9.3345937499999998</v>
      </c>
      <c r="T5" s="13">
        <v>19707.496599999999</v>
      </c>
      <c r="U5" s="13">
        <f t="shared" si="2"/>
        <v>307.92963437499998</v>
      </c>
      <c r="V5" s="13">
        <v>0.58340000000000003</v>
      </c>
      <c r="W5" s="13">
        <f t="shared" si="1"/>
        <v>35.004000000000005</v>
      </c>
      <c r="X5" s="23"/>
    </row>
    <row r="6" spans="1:24" ht="45.95" customHeight="1" x14ac:dyDescent="0.15">
      <c r="A6" s="7" t="s">
        <v>56</v>
      </c>
      <c r="B6" s="7" t="s">
        <v>22</v>
      </c>
      <c r="C6" s="7" t="s">
        <v>23</v>
      </c>
      <c r="D6" s="8" t="s">
        <v>35</v>
      </c>
      <c r="E6" s="8" t="s">
        <v>25</v>
      </c>
      <c r="F6" s="16" t="s">
        <v>57</v>
      </c>
      <c r="G6" s="10">
        <v>64</v>
      </c>
      <c r="H6" s="17" t="s">
        <v>58</v>
      </c>
      <c r="I6" s="24" t="s">
        <v>61</v>
      </c>
      <c r="J6" s="43" t="s">
        <v>92</v>
      </c>
      <c r="K6" s="8" t="s">
        <v>37</v>
      </c>
      <c r="L6" s="8" t="s">
        <v>30</v>
      </c>
      <c r="M6" s="32">
        <v>0</v>
      </c>
      <c r="N6" s="10">
        <v>12.908799999999999</v>
      </c>
      <c r="O6" s="8">
        <v>9531.7999999999993</v>
      </c>
      <c r="P6" s="13">
        <v>46.1</v>
      </c>
      <c r="Q6" s="13">
        <v>281.13400000000001</v>
      </c>
      <c r="R6" s="13">
        <v>233.11250000000001</v>
      </c>
      <c r="S6" s="14">
        <f t="shared" si="0"/>
        <v>3.6423828125000002</v>
      </c>
      <c r="T6" s="13">
        <v>7692.3561</v>
      </c>
      <c r="U6" s="13">
        <f t="shared" si="2"/>
        <v>120.1930640625</v>
      </c>
      <c r="V6" s="13">
        <v>0.2276</v>
      </c>
      <c r="W6" s="13">
        <f t="shared" si="1"/>
        <v>13.656000000000001</v>
      </c>
      <c r="X6" s="23"/>
    </row>
    <row r="7" spans="1:24" ht="45.95" customHeight="1" x14ac:dyDescent="0.15">
      <c r="A7" s="7" t="s">
        <v>56</v>
      </c>
      <c r="B7" s="7" t="s">
        <v>22</v>
      </c>
      <c r="C7" s="7" t="s">
        <v>23</v>
      </c>
      <c r="D7" s="8" t="s">
        <v>24</v>
      </c>
      <c r="E7" s="8" t="s">
        <v>25</v>
      </c>
      <c r="F7" s="16" t="s">
        <v>57</v>
      </c>
      <c r="G7" s="10">
        <v>64</v>
      </c>
      <c r="H7" s="17" t="s">
        <v>58</v>
      </c>
      <c r="I7" s="24" t="s">
        <v>61</v>
      </c>
      <c r="J7" s="43" t="s">
        <v>94</v>
      </c>
      <c r="K7" s="8" t="s">
        <v>38</v>
      </c>
      <c r="L7" s="8" t="s">
        <v>30</v>
      </c>
      <c r="M7" s="33">
        <v>0.9</v>
      </c>
      <c r="N7" s="10">
        <v>27.6783</v>
      </c>
      <c r="O7" s="8">
        <v>12889.3</v>
      </c>
      <c r="P7" s="13">
        <v>52.9</v>
      </c>
      <c r="Q7" s="13">
        <v>464.46</v>
      </c>
      <c r="R7" s="13">
        <v>423.3039</v>
      </c>
      <c r="S7" s="14">
        <f t="shared" si="0"/>
        <v>6.6141234375</v>
      </c>
      <c r="T7" s="13">
        <v>54607.869700000003</v>
      </c>
      <c r="U7" s="13">
        <f t="shared" si="2"/>
        <v>853.24796406250005</v>
      </c>
      <c r="V7" s="13">
        <v>0.41339999999999999</v>
      </c>
      <c r="W7" s="13">
        <f t="shared" si="1"/>
        <v>24.803999999999998</v>
      </c>
      <c r="X7" s="23"/>
    </row>
    <row r="8" spans="1:24" ht="45.95" customHeight="1" x14ac:dyDescent="0.15">
      <c r="A8" s="7" t="s">
        <v>56</v>
      </c>
      <c r="B8" s="7" t="s">
        <v>22</v>
      </c>
      <c r="C8" s="7" t="s">
        <v>23</v>
      </c>
      <c r="D8" s="8" t="s">
        <v>35</v>
      </c>
      <c r="E8" s="8" t="s">
        <v>25</v>
      </c>
      <c r="F8" s="16" t="s">
        <v>57</v>
      </c>
      <c r="G8" s="10">
        <v>64</v>
      </c>
      <c r="H8" s="17" t="s">
        <v>58</v>
      </c>
      <c r="I8" s="24" t="s">
        <v>61</v>
      </c>
      <c r="J8" s="43" t="s">
        <v>94</v>
      </c>
      <c r="K8" s="8" t="s">
        <v>38</v>
      </c>
      <c r="L8" s="8" t="s">
        <v>30</v>
      </c>
      <c r="M8" s="34">
        <v>0.9</v>
      </c>
      <c r="N8" s="10">
        <v>13.171200000000001</v>
      </c>
      <c r="O8" s="8">
        <v>9310.1</v>
      </c>
      <c r="P8" s="13">
        <v>45.2</v>
      </c>
      <c r="Q8" s="13">
        <v>270.16800000000001</v>
      </c>
      <c r="R8" s="13">
        <v>242.57490000000001</v>
      </c>
      <c r="S8" s="14">
        <f t="shared" si="0"/>
        <v>3.7902328125000002</v>
      </c>
      <c r="T8" s="13">
        <v>31293.122899999998</v>
      </c>
      <c r="U8" s="13">
        <f t="shared" si="2"/>
        <v>488.95504531249998</v>
      </c>
      <c r="V8" s="13">
        <v>0.2369</v>
      </c>
      <c r="W8" s="13">
        <f t="shared" si="1"/>
        <v>14.214</v>
      </c>
      <c r="X8" s="23"/>
    </row>
    <row r="9" spans="1:24" ht="45.95" customHeight="1" x14ac:dyDescent="0.15">
      <c r="A9" s="7" t="s">
        <v>56</v>
      </c>
      <c r="B9" s="7" t="s">
        <v>22</v>
      </c>
      <c r="C9" s="7" t="s">
        <v>23</v>
      </c>
      <c r="D9" s="8" t="s">
        <v>39</v>
      </c>
      <c r="E9" s="8" t="s">
        <v>25</v>
      </c>
      <c r="F9" s="16" t="s">
        <v>57</v>
      </c>
      <c r="G9" s="10">
        <v>64</v>
      </c>
      <c r="H9" s="17" t="s">
        <v>58</v>
      </c>
      <c r="I9" s="24" t="s">
        <v>62</v>
      </c>
      <c r="J9" s="43" t="s">
        <v>95</v>
      </c>
      <c r="K9" s="8" t="s">
        <v>40</v>
      </c>
      <c r="L9" s="8" t="s">
        <v>30</v>
      </c>
      <c r="M9" s="39" t="s">
        <v>63</v>
      </c>
      <c r="N9" s="10">
        <v>1</v>
      </c>
      <c r="O9" s="8">
        <v>670107.19999999995</v>
      </c>
      <c r="P9" s="13">
        <v>47.3</v>
      </c>
      <c r="Q9" s="13">
        <v>718.52869299999998</v>
      </c>
      <c r="R9" s="13">
        <v>1.4251</v>
      </c>
      <c r="S9" s="14">
        <f>R9/64</f>
        <v>2.2267187500000001E-2</v>
      </c>
      <c r="T9" s="13">
        <v>1426.5652</v>
      </c>
      <c r="U9" s="13">
        <f t="shared" si="2"/>
        <v>22.29008125</v>
      </c>
      <c r="V9" s="13">
        <v>1.4E-3</v>
      </c>
      <c r="W9" s="13">
        <f t="shared" si="1"/>
        <v>8.4000000000000005E-2</v>
      </c>
      <c r="X9" s="25" t="s">
        <v>64</v>
      </c>
    </row>
    <row r="10" spans="1:24" ht="45.95" hidden="1" customHeight="1" x14ac:dyDescent="0.15">
      <c r="A10" s="7" t="s">
        <v>56</v>
      </c>
      <c r="B10" s="7" t="s">
        <v>22</v>
      </c>
      <c r="C10" s="7" t="s">
        <v>65</v>
      </c>
      <c r="D10" s="8" t="s">
        <v>24</v>
      </c>
      <c r="E10" s="8" t="s">
        <v>25</v>
      </c>
      <c r="F10" s="16" t="s">
        <v>66</v>
      </c>
      <c r="G10" s="10">
        <v>16</v>
      </c>
      <c r="H10" s="17" t="s">
        <v>58</v>
      </c>
      <c r="I10" s="17" t="s">
        <v>67</v>
      </c>
      <c r="J10" s="55" t="s">
        <v>96</v>
      </c>
      <c r="K10" s="8" t="s">
        <v>29</v>
      </c>
      <c r="L10" s="8" t="s">
        <v>30</v>
      </c>
      <c r="M10" s="32">
        <v>0</v>
      </c>
      <c r="N10" s="10">
        <v>7.8276000000000003</v>
      </c>
      <c r="O10" s="8">
        <v>4521</v>
      </c>
      <c r="P10" s="13">
        <v>49.5</v>
      </c>
      <c r="Q10" s="13">
        <v>55.21</v>
      </c>
      <c r="R10" s="13">
        <v>145.18</v>
      </c>
      <c r="S10" s="14">
        <f t="shared" ref="S10:S16" si="3">R10/G10</f>
        <v>9.0737500000000004</v>
      </c>
      <c r="T10" s="13">
        <v>1307.1886</v>
      </c>
      <c r="U10" s="13">
        <f t="shared" si="2"/>
        <v>81.699287499999997</v>
      </c>
      <c r="V10" s="13">
        <v>0.14180000000000001</v>
      </c>
      <c r="W10" s="13">
        <f t="shared" si="1"/>
        <v>8.5080000000000009</v>
      </c>
      <c r="X10" s="23"/>
    </row>
    <row r="11" spans="1:24" ht="45.95" hidden="1" customHeight="1" x14ac:dyDescent="0.15">
      <c r="A11" s="7" t="s">
        <v>56</v>
      </c>
      <c r="B11" s="7" t="s">
        <v>22</v>
      </c>
      <c r="C11" s="7" t="s">
        <v>65</v>
      </c>
      <c r="D11" s="8" t="s">
        <v>35</v>
      </c>
      <c r="E11" s="8" t="s">
        <v>25</v>
      </c>
      <c r="F11" s="16" t="s">
        <v>66</v>
      </c>
      <c r="G11" s="10">
        <v>16</v>
      </c>
      <c r="H11" s="17" t="s">
        <v>58</v>
      </c>
      <c r="I11" s="17" t="s">
        <v>67</v>
      </c>
      <c r="J11" s="56"/>
      <c r="K11" s="8" t="s">
        <v>29</v>
      </c>
      <c r="L11" s="8" t="s">
        <v>30</v>
      </c>
      <c r="M11" s="32">
        <v>0</v>
      </c>
      <c r="N11" s="10">
        <v>1</v>
      </c>
      <c r="O11" s="8">
        <v>1920.8</v>
      </c>
      <c r="P11" s="13">
        <v>34.5</v>
      </c>
      <c r="Q11" s="13">
        <v>37.241</v>
      </c>
      <c r="R11" s="13">
        <v>27.495699999999999</v>
      </c>
      <c r="S11" s="14">
        <f t="shared" si="3"/>
        <v>1.71848125</v>
      </c>
      <c r="T11" s="13">
        <v>247.56880000000001</v>
      </c>
      <c r="U11" s="13">
        <f t="shared" si="2"/>
        <v>15.473050000000001</v>
      </c>
      <c r="V11" s="13">
        <v>2.69E-2</v>
      </c>
      <c r="W11" s="13">
        <f t="shared" si="1"/>
        <v>1.6140000000000001</v>
      </c>
      <c r="X11" s="23"/>
    </row>
    <row r="12" spans="1:24" ht="45.95" hidden="1" customHeight="1" x14ac:dyDescent="0.15">
      <c r="A12" s="7" t="s">
        <v>56</v>
      </c>
      <c r="B12" s="7" t="s">
        <v>22</v>
      </c>
      <c r="C12" s="7" t="s">
        <v>65</v>
      </c>
      <c r="D12" s="8" t="s">
        <v>24</v>
      </c>
      <c r="E12" s="8" t="s">
        <v>25</v>
      </c>
      <c r="F12" s="16" t="s">
        <v>66</v>
      </c>
      <c r="G12" s="10">
        <v>16</v>
      </c>
      <c r="H12" s="17" t="s">
        <v>58</v>
      </c>
      <c r="I12" s="17" t="s">
        <v>67</v>
      </c>
      <c r="J12" s="56"/>
      <c r="K12" s="8" t="s">
        <v>37</v>
      </c>
      <c r="L12" s="8" t="s">
        <v>30</v>
      </c>
      <c r="M12" s="32">
        <v>0</v>
      </c>
      <c r="N12" s="10">
        <v>3.9649000000000001</v>
      </c>
      <c r="O12" s="8">
        <v>10573.7</v>
      </c>
      <c r="P12" s="13">
        <v>49.1</v>
      </c>
      <c r="Q12" s="13">
        <v>60.783000000000001</v>
      </c>
      <c r="R12" s="13">
        <v>66.794600000000003</v>
      </c>
      <c r="S12" s="14">
        <f t="shared" si="3"/>
        <v>4.1746625000000002</v>
      </c>
      <c r="T12" s="13">
        <v>2204.4803000000002</v>
      </c>
      <c r="U12" s="13">
        <f t="shared" si="2"/>
        <v>137.78001875000001</v>
      </c>
      <c r="V12" s="13">
        <v>6.5199999999999994E-2</v>
      </c>
      <c r="W12" s="13">
        <f t="shared" si="1"/>
        <v>3.9119999999999995</v>
      </c>
      <c r="X12" s="23"/>
    </row>
    <row r="13" spans="1:24" ht="45.95" hidden="1" customHeight="1" x14ac:dyDescent="0.15">
      <c r="A13" s="7" t="s">
        <v>56</v>
      </c>
      <c r="B13" s="7" t="s">
        <v>22</v>
      </c>
      <c r="C13" s="7" t="s">
        <v>65</v>
      </c>
      <c r="D13" s="8" t="s">
        <v>35</v>
      </c>
      <c r="E13" s="8" t="s">
        <v>25</v>
      </c>
      <c r="F13" s="16" t="s">
        <v>66</v>
      </c>
      <c r="G13" s="10">
        <v>16</v>
      </c>
      <c r="H13" s="17" t="s">
        <v>58</v>
      </c>
      <c r="I13" s="17" t="s">
        <v>67</v>
      </c>
      <c r="J13" s="56"/>
      <c r="K13" s="8" t="s">
        <v>37</v>
      </c>
      <c r="L13" s="8" t="s">
        <v>30</v>
      </c>
      <c r="M13" s="32">
        <v>0</v>
      </c>
      <c r="N13" s="10">
        <v>1</v>
      </c>
      <c r="O13" s="8">
        <v>7228.2</v>
      </c>
      <c r="P13" s="13">
        <v>35.4</v>
      </c>
      <c r="Q13" s="13">
        <v>43.47</v>
      </c>
      <c r="R13" s="13">
        <v>23.556100000000001</v>
      </c>
      <c r="S13" s="14">
        <f t="shared" si="3"/>
        <v>1.47225625</v>
      </c>
      <c r="T13" s="13">
        <v>777.44219999999996</v>
      </c>
      <c r="U13" s="13">
        <f t="shared" si="2"/>
        <v>48.590137499999997</v>
      </c>
      <c r="V13" s="13">
        <v>2.3E-2</v>
      </c>
      <c r="W13" s="13">
        <f t="shared" si="1"/>
        <v>1.38</v>
      </c>
      <c r="X13" s="23"/>
    </row>
    <row r="14" spans="1:24" ht="45.95" hidden="1" customHeight="1" x14ac:dyDescent="0.15">
      <c r="A14" s="7" t="s">
        <v>56</v>
      </c>
      <c r="B14" s="7" t="s">
        <v>22</v>
      </c>
      <c r="C14" s="7" t="s">
        <v>65</v>
      </c>
      <c r="D14" s="8" t="s">
        <v>24</v>
      </c>
      <c r="E14" s="8" t="s">
        <v>25</v>
      </c>
      <c r="F14" s="16" t="s">
        <v>66</v>
      </c>
      <c r="G14" s="10">
        <v>16</v>
      </c>
      <c r="H14" s="17" t="s">
        <v>58</v>
      </c>
      <c r="I14" s="17" t="s">
        <v>67</v>
      </c>
      <c r="J14" s="56"/>
      <c r="K14" s="8" t="s">
        <v>38</v>
      </c>
      <c r="L14" s="8" t="s">
        <v>30</v>
      </c>
      <c r="M14" s="32">
        <v>0.9</v>
      </c>
      <c r="N14" s="10">
        <v>5.9710000000000001</v>
      </c>
      <c r="O14" s="8">
        <v>11258</v>
      </c>
      <c r="P14" s="13">
        <v>47</v>
      </c>
      <c r="Q14" s="13">
        <v>59.34</v>
      </c>
      <c r="R14" s="13">
        <v>103.03740000000001</v>
      </c>
      <c r="S14" s="14">
        <f t="shared" si="3"/>
        <v>6.4398375000000003</v>
      </c>
      <c r="T14" s="13">
        <v>13292</v>
      </c>
      <c r="U14" s="13">
        <f t="shared" si="2"/>
        <v>830.75</v>
      </c>
      <c r="V14" s="13">
        <v>0.10059999999999999</v>
      </c>
      <c r="W14" s="13">
        <f t="shared" si="1"/>
        <v>6.0359999999999996</v>
      </c>
      <c r="X14" s="23"/>
    </row>
    <row r="15" spans="1:24" ht="45.95" hidden="1" customHeight="1" x14ac:dyDescent="0.15">
      <c r="A15" s="7" t="s">
        <v>56</v>
      </c>
      <c r="B15" s="7" t="s">
        <v>22</v>
      </c>
      <c r="C15" s="7" t="s">
        <v>65</v>
      </c>
      <c r="D15" s="8" t="s">
        <v>35</v>
      </c>
      <c r="E15" s="8" t="s">
        <v>25</v>
      </c>
      <c r="F15" s="16" t="s">
        <v>66</v>
      </c>
      <c r="G15" s="10">
        <v>16</v>
      </c>
      <c r="H15" s="17" t="s">
        <v>58</v>
      </c>
      <c r="I15" s="17" t="s">
        <v>67</v>
      </c>
      <c r="J15" s="56"/>
      <c r="K15" s="8" t="s">
        <v>38</v>
      </c>
      <c r="L15" s="8" t="s">
        <v>30</v>
      </c>
      <c r="M15" s="32">
        <v>0.9</v>
      </c>
      <c r="N15" s="10">
        <v>1</v>
      </c>
      <c r="O15" s="8">
        <v>5596.4</v>
      </c>
      <c r="P15" s="13">
        <v>37.9</v>
      </c>
      <c r="Q15" s="13">
        <v>44.377000000000002</v>
      </c>
      <c r="R15" s="13">
        <v>23.073899999999998</v>
      </c>
      <c r="S15" s="14">
        <f t="shared" si="3"/>
        <v>1.4421187499999999</v>
      </c>
      <c r="T15" s="13">
        <v>2976.6188999999999</v>
      </c>
      <c r="U15" s="13">
        <f t="shared" si="2"/>
        <v>186.03868125</v>
      </c>
      <c r="V15" s="13">
        <v>2.2499999999999999E-2</v>
      </c>
      <c r="W15" s="13">
        <f t="shared" si="1"/>
        <v>1.3499999999999999</v>
      </c>
      <c r="X15" s="23"/>
    </row>
    <row r="16" spans="1:24" ht="45.95" hidden="1" customHeight="1" x14ac:dyDescent="0.15">
      <c r="A16" s="7" t="s">
        <v>56</v>
      </c>
      <c r="B16" s="7" t="s">
        <v>22</v>
      </c>
      <c r="C16" s="7" t="s">
        <v>65</v>
      </c>
      <c r="D16" s="8" t="s">
        <v>35</v>
      </c>
      <c r="E16" s="8" t="s">
        <v>25</v>
      </c>
      <c r="F16" s="16" t="s">
        <v>66</v>
      </c>
      <c r="G16" s="10">
        <v>16</v>
      </c>
      <c r="H16" s="17" t="s">
        <v>58</v>
      </c>
      <c r="I16" s="17" t="s">
        <v>67</v>
      </c>
      <c r="J16" s="57"/>
      <c r="K16" s="26" t="s">
        <v>68</v>
      </c>
      <c r="L16" s="8" t="s">
        <v>30</v>
      </c>
      <c r="M16" s="39" t="s">
        <v>63</v>
      </c>
      <c r="N16" s="10">
        <v>1</v>
      </c>
      <c r="O16" s="8">
        <v>666101</v>
      </c>
      <c r="P16" s="13">
        <v>52</v>
      </c>
      <c r="Q16" s="13">
        <v>2877026</v>
      </c>
      <c r="R16" s="13">
        <v>1.42</v>
      </c>
      <c r="S16" s="14">
        <f t="shared" si="3"/>
        <v>8.8749999999999996E-2</v>
      </c>
      <c r="T16" s="13">
        <v>1425.1</v>
      </c>
      <c r="U16" s="13">
        <f t="shared" si="2"/>
        <v>89.068749999999994</v>
      </c>
      <c r="V16" s="13">
        <v>1.4E-3</v>
      </c>
      <c r="W16" s="13">
        <f t="shared" si="1"/>
        <v>8.4000000000000005E-2</v>
      </c>
      <c r="X16" s="25" t="s">
        <v>64</v>
      </c>
    </row>
    <row r="17" spans="1:24" ht="45.95" customHeight="1" x14ac:dyDescent="0.15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23"/>
    </row>
    <row r="18" spans="1:24" ht="45.95" customHeight="1" x14ac:dyDescent="0.15">
      <c r="A18" s="7" t="s">
        <v>56</v>
      </c>
      <c r="B18" s="7" t="s">
        <v>22</v>
      </c>
      <c r="C18" s="12" t="s">
        <v>69</v>
      </c>
      <c r="D18" s="8" t="s">
        <v>24</v>
      </c>
      <c r="E18" s="8" t="s">
        <v>45</v>
      </c>
      <c r="F18" s="12" t="s">
        <v>112</v>
      </c>
      <c r="G18" s="10">
        <v>32</v>
      </c>
      <c r="H18" s="17" t="s">
        <v>70</v>
      </c>
      <c r="I18" s="27" t="s">
        <v>71</v>
      </c>
      <c r="J18" s="29" t="s">
        <v>97</v>
      </c>
      <c r="K18" s="8" t="s">
        <v>29</v>
      </c>
      <c r="L18" s="8" t="s">
        <v>30</v>
      </c>
      <c r="M18" s="10">
        <v>0</v>
      </c>
      <c r="N18" s="10">
        <v>5.9726999999999997</v>
      </c>
      <c r="O18" s="21">
        <v>4716.1000000000004</v>
      </c>
      <c r="P18" s="21">
        <v>50.3</v>
      </c>
      <c r="Q18" s="21">
        <v>225.59299999999999</v>
      </c>
      <c r="R18" s="21">
        <v>108.9392</v>
      </c>
      <c r="S18" s="21">
        <v>3.40435</v>
      </c>
      <c r="T18" s="21">
        <v>980.87810000000002</v>
      </c>
      <c r="U18" s="21">
        <v>30.652440625000001</v>
      </c>
      <c r="V18" s="21">
        <v>0.10639999999999999</v>
      </c>
      <c r="W18" s="21">
        <v>6.3840000000000003</v>
      </c>
      <c r="X18" s="28"/>
    </row>
    <row r="19" spans="1:24" ht="45.95" customHeight="1" x14ac:dyDescent="0.15">
      <c r="A19" s="7" t="s">
        <v>56</v>
      </c>
      <c r="B19" s="7" t="s">
        <v>22</v>
      </c>
      <c r="C19" s="12" t="s">
        <v>69</v>
      </c>
      <c r="D19" s="8" t="s">
        <v>35</v>
      </c>
      <c r="E19" s="8" t="s">
        <v>45</v>
      </c>
      <c r="F19" s="12" t="s">
        <v>112</v>
      </c>
      <c r="G19" s="10">
        <v>32</v>
      </c>
      <c r="H19" s="17" t="s">
        <v>70</v>
      </c>
      <c r="I19" s="27" t="s">
        <v>71</v>
      </c>
      <c r="J19" s="29" t="s">
        <v>97</v>
      </c>
      <c r="K19" s="8" t="s">
        <v>29</v>
      </c>
      <c r="L19" s="8" t="s">
        <v>30</v>
      </c>
      <c r="M19" s="10">
        <v>0</v>
      </c>
      <c r="N19" s="10">
        <v>1</v>
      </c>
      <c r="O19" s="10">
        <v>3058.4</v>
      </c>
      <c r="P19" s="21">
        <v>41.5</v>
      </c>
      <c r="Q19" s="10">
        <v>182.05799999999999</v>
      </c>
      <c r="R19" s="10">
        <v>22.4983</v>
      </c>
      <c r="S19" s="10">
        <v>0.70307187500000001</v>
      </c>
      <c r="T19" s="10">
        <v>202.5728</v>
      </c>
      <c r="U19" s="10">
        <v>6.3304</v>
      </c>
      <c r="V19" s="10">
        <v>2.1999999999999999E-2</v>
      </c>
      <c r="W19" s="10">
        <v>1.32</v>
      </c>
      <c r="X19" s="23"/>
    </row>
    <row r="20" spans="1:24" ht="45.95" customHeight="1" x14ac:dyDescent="0.15">
      <c r="A20" s="7" t="s">
        <v>56</v>
      </c>
      <c r="B20" s="7" t="s">
        <v>22</v>
      </c>
      <c r="C20" s="12" t="s">
        <v>69</v>
      </c>
      <c r="D20" s="8" t="s">
        <v>24</v>
      </c>
      <c r="E20" s="8" t="s">
        <v>45</v>
      </c>
      <c r="F20" s="12" t="s">
        <v>112</v>
      </c>
      <c r="G20" s="10">
        <v>32</v>
      </c>
      <c r="H20" s="17" t="s">
        <v>70</v>
      </c>
      <c r="I20" s="27" t="s">
        <v>71</v>
      </c>
      <c r="J20" s="29" t="s">
        <v>97</v>
      </c>
      <c r="K20" s="8" t="s">
        <v>37</v>
      </c>
      <c r="L20" s="8" t="s">
        <v>30</v>
      </c>
      <c r="M20" s="10">
        <v>0</v>
      </c>
      <c r="N20" s="10">
        <v>1.9790000000000001</v>
      </c>
      <c r="O20" s="10">
        <v>11346.7</v>
      </c>
      <c r="P20" s="10">
        <v>49.4</v>
      </c>
      <c r="Q20" s="10">
        <v>250.32599999999999</v>
      </c>
      <c r="R20" s="10">
        <v>32.725299999999997</v>
      </c>
      <c r="S20" s="10">
        <v>1.0226656249999999</v>
      </c>
      <c r="T20" s="10">
        <v>1080.0622000000001</v>
      </c>
      <c r="U20" s="10">
        <v>33.751943750000002</v>
      </c>
      <c r="V20" s="10">
        <v>3.2000000000000001E-2</v>
      </c>
      <c r="W20" s="10">
        <v>1.92</v>
      </c>
      <c r="X20" s="23"/>
    </row>
    <row r="21" spans="1:24" ht="45.95" customHeight="1" x14ac:dyDescent="0.15">
      <c r="A21" s="7" t="s">
        <v>56</v>
      </c>
      <c r="B21" s="7" t="s">
        <v>22</v>
      </c>
      <c r="C21" s="12" t="s">
        <v>69</v>
      </c>
      <c r="D21" s="8" t="s">
        <v>35</v>
      </c>
      <c r="E21" s="8" t="s">
        <v>45</v>
      </c>
      <c r="F21" s="12" t="s">
        <v>112</v>
      </c>
      <c r="G21" s="10">
        <v>32</v>
      </c>
      <c r="H21" s="17" t="s">
        <v>70</v>
      </c>
      <c r="I21" s="27" t="s">
        <v>71</v>
      </c>
      <c r="J21" s="29" t="s">
        <v>97</v>
      </c>
      <c r="K21" s="8" t="s">
        <v>37</v>
      </c>
      <c r="L21" s="8" t="s">
        <v>30</v>
      </c>
      <c r="M21" s="10">
        <v>0</v>
      </c>
      <c r="N21" s="10">
        <v>1</v>
      </c>
      <c r="O21" s="10">
        <v>10816.1</v>
      </c>
      <c r="P21" s="10">
        <v>43.1</v>
      </c>
      <c r="Q21" s="10">
        <v>219.738</v>
      </c>
      <c r="R21" s="10">
        <v>18.6404</v>
      </c>
      <c r="S21" s="10">
        <v>0.58251249999999999</v>
      </c>
      <c r="T21" s="10">
        <v>615.20489999999995</v>
      </c>
      <c r="U21" s="10">
        <v>19.225153124999999</v>
      </c>
      <c r="V21" s="10">
        <v>1.8200000000000001E-2</v>
      </c>
      <c r="W21" s="10">
        <v>1.0920000000000001</v>
      </c>
      <c r="X21" s="23"/>
    </row>
    <row r="22" spans="1:24" ht="45.95" customHeight="1" x14ac:dyDescent="0.15">
      <c r="A22" s="7" t="s">
        <v>56</v>
      </c>
      <c r="B22" s="7" t="s">
        <v>22</v>
      </c>
      <c r="C22" s="12" t="s">
        <v>69</v>
      </c>
      <c r="D22" s="8" t="s">
        <v>24</v>
      </c>
      <c r="E22" s="8" t="s">
        <v>45</v>
      </c>
      <c r="F22" s="12" t="s">
        <v>112</v>
      </c>
      <c r="G22" s="10">
        <v>32</v>
      </c>
      <c r="H22" s="17" t="s">
        <v>70</v>
      </c>
      <c r="I22" s="27" t="s">
        <v>71</v>
      </c>
      <c r="J22" s="29" t="s">
        <v>97</v>
      </c>
      <c r="K22" s="8" t="s">
        <v>38</v>
      </c>
      <c r="L22" s="8" t="s">
        <v>30</v>
      </c>
      <c r="M22" s="35">
        <v>0</v>
      </c>
      <c r="N22" s="10">
        <v>1.9914000000000001</v>
      </c>
      <c r="O22" s="10">
        <v>47968.800000000003</v>
      </c>
      <c r="P22" s="10">
        <v>42.8</v>
      </c>
      <c r="Q22" s="10">
        <v>368.459</v>
      </c>
      <c r="R22" s="10">
        <v>22.2331</v>
      </c>
      <c r="S22" s="10">
        <v>0.69478437500000001</v>
      </c>
      <c r="T22" s="10">
        <v>2868.1624000000002</v>
      </c>
      <c r="U22" s="10">
        <v>89.630075000000005</v>
      </c>
      <c r="V22" s="10">
        <v>2.1700000000000001E-2</v>
      </c>
      <c r="W22" s="10">
        <v>1.302</v>
      </c>
      <c r="X22" s="23"/>
    </row>
    <row r="23" spans="1:24" ht="45.95" customHeight="1" x14ac:dyDescent="0.15">
      <c r="A23" s="7" t="s">
        <v>56</v>
      </c>
      <c r="B23" s="7" t="s">
        <v>22</v>
      </c>
      <c r="C23" s="12" t="s">
        <v>69</v>
      </c>
      <c r="D23" s="8" t="s">
        <v>24</v>
      </c>
      <c r="E23" s="8" t="s">
        <v>45</v>
      </c>
      <c r="F23" s="12" t="s">
        <v>112</v>
      </c>
      <c r="G23" s="10">
        <v>32</v>
      </c>
      <c r="H23" s="17" t="s">
        <v>70</v>
      </c>
      <c r="I23" s="27" t="s">
        <v>71</v>
      </c>
      <c r="J23" s="29" t="s">
        <v>97</v>
      </c>
      <c r="K23" s="8" t="s">
        <v>38</v>
      </c>
      <c r="L23" s="8" t="s">
        <v>30</v>
      </c>
      <c r="M23" s="33">
        <v>0.9</v>
      </c>
      <c r="N23" s="10">
        <v>2</v>
      </c>
      <c r="O23" s="10">
        <v>8420.7999999999993</v>
      </c>
      <c r="P23" s="10">
        <v>65</v>
      </c>
      <c r="Q23" s="10">
        <v>311.08300000000003</v>
      </c>
      <c r="R23" s="10">
        <v>26.3338</v>
      </c>
      <c r="S23" s="10">
        <v>0.82293125</v>
      </c>
      <c r="T23" s="10">
        <v>3397.1642000000002</v>
      </c>
      <c r="U23" s="10">
        <v>106.16138125000001</v>
      </c>
      <c r="V23" s="10">
        <v>2.5700000000000001E-2</v>
      </c>
      <c r="W23" s="10">
        <v>1.542</v>
      </c>
      <c r="X23" s="23"/>
    </row>
    <row r="24" spans="1:24" ht="45.95" customHeight="1" x14ac:dyDescent="0.15">
      <c r="A24" s="7" t="s">
        <v>56</v>
      </c>
      <c r="B24" s="7" t="s">
        <v>22</v>
      </c>
      <c r="C24" s="12" t="s">
        <v>69</v>
      </c>
      <c r="D24" s="8" t="s">
        <v>35</v>
      </c>
      <c r="E24" s="8" t="s">
        <v>45</v>
      </c>
      <c r="F24" s="12" t="s">
        <v>112</v>
      </c>
      <c r="G24" s="10">
        <v>32</v>
      </c>
      <c r="H24" s="17" t="s">
        <v>70</v>
      </c>
      <c r="I24" s="27" t="s">
        <v>71</v>
      </c>
      <c r="J24" s="29" t="s">
        <v>97</v>
      </c>
      <c r="K24" s="8" t="s">
        <v>38</v>
      </c>
      <c r="L24" s="8" t="s">
        <v>30</v>
      </c>
      <c r="M24" s="35">
        <v>0</v>
      </c>
      <c r="N24" s="10">
        <v>1</v>
      </c>
      <c r="O24" s="10">
        <v>46763</v>
      </c>
      <c r="P24" s="10">
        <v>42.4</v>
      </c>
      <c r="Q24" s="10">
        <v>360.54700000000003</v>
      </c>
      <c r="R24" s="10">
        <v>11.3605</v>
      </c>
      <c r="S24" s="10">
        <v>0.355015625</v>
      </c>
      <c r="T24" s="10">
        <v>1465.5499</v>
      </c>
      <c r="U24" s="10">
        <v>45.798434374999999</v>
      </c>
      <c r="V24" s="10">
        <v>1.11E-2</v>
      </c>
      <c r="W24" s="10">
        <v>0.66600000000000004</v>
      </c>
      <c r="X24" s="23"/>
    </row>
    <row r="25" spans="1:24" ht="45.95" customHeight="1" x14ac:dyDescent="0.15">
      <c r="A25" s="7" t="s">
        <v>56</v>
      </c>
      <c r="B25" s="7" t="s">
        <v>22</v>
      </c>
      <c r="C25" s="12" t="s">
        <v>69</v>
      </c>
      <c r="D25" s="8" t="s">
        <v>35</v>
      </c>
      <c r="E25" s="8" t="s">
        <v>45</v>
      </c>
      <c r="F25" s="12" t="s">
        <v>112</v>
      </c>
      <c r="G25" s="10">
        <v>32</v>
      </c>
      <c r="H25" s="17" t="s">
        <v>70</v>
      </c>
      <c r="I25" s="27" t="s">
        <v>71</v>
      </c>
      <c r="J25" s="29" t="s">
        <v>97</v>
      </c>
      <c r="K25" s="8" t="s">
        <v>38</v>
      </c>
      <c r="L25" s="8" t="s">
        <v>30</v>
      </c>
      <c r="M25" s="33">
        <v>0.9</v>
      </c>
      <c r="N25" s="10">
        <v>2</v>
      </c>
      <c r="O25" s="10">
        <v>8420.7999999999993</v>
      </c>
      <c r="P25" s="10">
        <v>65</v>
      </c>
      <c r="Q25" s="10">
        <v>311.08300000000003</v>
      </c>
      <c r="R25" s="10">
        <v>26.3338</v>
      </c>
      <c r="S25" s="10">
        <v>0.82293125</v>
      </c>
      <c r="T25" s="10">
        <v>3397.1642000000002</v>
      </c>
      <c r="U25" s="10">
        <v>106.16138125000001</v>
      </c>
      <c r="V25" s="10">
        <v>2.5700000000000001E-2</v>
      </c>
      <c r="W25" s="10">
        <v>1.542</v>
      </c>
      <c r="X25" s="23"/>
    </row>
    <row r="26" spans="1:24" ht="45.95" customHeight="1" x14ac:dyDescent="0.15">
      <c r="A26" s="7" t="s">
        <v>56</v>
      </c>
      <c r="B26" s="7" t="s">
        <v>22</v>
      </c>
      <c r="C26" s="12" t="s">
        <v>113</v>
      </c>
      <c r="D26" s="8" t="s">
        <v>39</v>
      </c>
      <c r="E26" s="8" t="s">
        <v>45</v>
      </c>
      <c r="F26" s="12" t="s">
        <v>112</v>
      </c>
      <c r="G26" s="10">
        <v>32</v>
      </c>
      <c r="H26" s="17" t="s">
        <v>70</v>
      </c>
      <c r="I26" s="27" t="s">
        <v>71</v>
      </c>
      <c r="J26" s="29" t="s">
        <v>98</v>
      </c>
      <c r="K26" s="8" t="s">
        <v>40</v>
      </c>
      <c r="L26" s="8" t="s">
        <v>30</v>
      </c>
      <c r="M26" s="33">
        <v>0.99</v>
      </c>
      <c r="N26" s="10">
        <v>1</v>
      </c>
      <c r="O26" s="10">
        <v>852427.7</v>
      </c>
      <c r="P26" s="10">
        <v>51.1</v>
      </c>
      <c r="Q26" s="10">
        <v>904.68600000000004</v>
      </c>
      <c r="R26" s="10">
        <v>1.1318999999999999</v>
      </c>
      <c r="S26" s="10">
        <v>3.5371874999999997E-2</v>
      </c>
      <c r="T26" s="10">
        <v>1157.9219000000001</v>
      </c>
      <c r="U26" s="10">
        <v>36.185059375000002</v>
      </c>
      <c r="V26" s="10">
        <v>1.1000000000000001E-3</v>
      </c>
      <c r="W26" s="10">
        <v>6.6000000000000003E-2</v>
      </c>
      <c r="X26" s="23"/>
    </row>
    <row r="27" spans="1:24" ht="45.95" customHeight="1" x14ac:dyDescent="0.15">
      <c r="A27" s="7" t="s">
        <v>56</v>
      </c>
      <c r="B27" s="7" t="s">
        <v>22</v>
      </c>
      <c r="C27" s="12" t="s">
        <v>52</v>
      </c>
      <c r="D27" s="8" t="s">
        <v>24</v>
      </c>
      <c r="E27" s="8" t="s">
        <v>45</v>
      </c>
      <c r="F27" s="12" t="s">
        <v>114</v>
      </c>
      <c r="G27" s="10">
        <v>64</v>
      </c>
      <c r="H27" s="17" t="s">
        <v>70</v>
      </c>
      <c r="I27" s="29" t="s">
        <v>72</v>
      </c>
      <c r="J27" s="29" t="s">
        <v>99</v>
      </c>
      <c r="K27" s="8" t="s">
        <v>29</v>
      </c>
      <c r="L27" s="8" t="s">
        <v>30</v>
      </c>
      <c r="M27" s="10">
        <v>0</v>
      </c>
      <c r="N27" s="10">
        <v>40.674900000000001</v>
      </c>
      <c r="O27" s="10">
        <v>12201.4</v>
      </c>
      <c r="P27" s="10">
        <v>50.6</v>
      </c>
      <c r="Q27" s="10">
        <v>275.85000000000002</v>
      </c>
      <c r="R27" s="10">
        <v>653.33889999999997</v>
      </c>
      <c r="S27" s="10">
        <v>10.208420312499999</v>
      </c>
      <c r="T27" s="10">
        <v>5880.5756000000001</v>
      </c>
      <c r="U27" s="10">
        <v>91.883993750000002</v>
      </c>
      <c r="V27" s="10">
        <v>0.63800000000000001</v>
      </c>
      <c r="W27" s="10">
        <v>38.28</v>
      </c>
      <c r="X27" s="28"/>
    </row>
    <row r="28" spans="1:24" ht="45.95" customHeight="1" x14ac:dyDescent="0.15">
      <c r="A28" s="7" t="s">
        <v>56</v>
      </c>
      <c r="B28" s="7" t="s">
        <v>22</v>
      </c>
      <c r="C28" s="12" t="s">
        <v>49</v>
      </c>
      <c r="D28" s="8" t="s">
        <v>35</v>
      </c>
      <c r="E28" s="8" t="s">
        <v>45</v>
      </c>
      <c r="F28" s="12" t="s">
        <v>73</v>
      </c>
      <c r="G28" s="10">
        <v>64</v>
      </c>
      <c r="H28" s="17" t="s">
        <v>70</v>
      </c>
      <c r="I28" s="29" t="s">
        <v>72</v>
      </c>
      <c r="J28" s="29" t="s">
        <v>99</v>
      </c>
      <c r="K28" s="8" t="s">
        <v>29</v>
      </c>
      <c r="L28" s="8" t="s">
        <v>30</v>
      </c>
      <c r="M28" s="10">
        <v>0</v>
      </c>
      <c r="N28" s="10">
        <v>1</v>
      </c>
      <c r="O28" s="10">
        <v>3069.3</v>
      </c>
      <c r="P28" s="10">
        <v>44.3</v>
      </c>
      <c r="Q28" s="10">
        <v>193.53299999999999</v>
      </c>
      <c r="R28" s="10">
        <v>21.164300000000001</v>
      </c>
      <c r="S28" s="10">
        <v>0.33069218750000001</v>
      </c>
      <c r="T28" s="10">
        <v>190.56120000000001</v>
      </c>
      <c r="U28" s="10">
        <v>2.9775187500000002</v>
      </c>
      <c r="V28" s="10">
        <v>2.07E-2</v>
      </c>
      <c r="W28" s="10">
        <v>1.242</v>
      </c>
      <c r="X28" s="23"/>
    </row>
    <row r="29" spans="1:24" ht="45.95" customHeight="1" x14ac:dyDescent="0.15">
      <c r="A29" s="7" t="s">
        <v>56</v>
      </c>
      <c r="B29" s="7" t="s">
        <v>22</v>
      </c>
      <c r="C29" s="12" t="s">
        <v>49</v>
      </c>
      <c r="D29" s="8" t="s">
        <v>24</v>
      </c>
      <c r="E29" s="8" t="s">
        <v>45</v>
      </c>
      <c r="F29" s="12" t="s">
        <v>73</v>
      </c>
      <c r="G29" s="10">
        <v>64</v>
      </c>
      <c r="H29" s="17" t="s">
        <v>70</v>
      </c>
      <c r="I29" s="29" t="s">
        <v>72</v>
      </c>
      <c r="J29" s="29" t="s">
        <v>99</v>
      </c>
      <c r="K29" s="8" t="s">
        <v>37</v>
      </c>
      <c r="L29" s="8" t="s">
        <v>30</v>
      </c>
      <c r="M29" s="10">
        <v>0</v>
      </c>
      <c r="N29" s="10">
        <v>12.985099999999999</v>
      </c>
      <c r="O29" s="10">
        <v>19959.3</v>
      </c>
      <c r="P29" s="10">
        <v>46.5</v>
      </c>
      <c r="Q29" s="10">
        <v>290.512</v>
      </c>
      <c r="R29" s="10">
        <v>197.38929999999999</v>
      </c>
      <c r="S29" s="10">
        <v>3.0842078124999999</v>
      </c>
      <c r="T29" s="10">
        <v>6513.3933999999999</v>
      </c>
      <c r="U29" s="10">
        <v>101.771771875</v>
      </c>
      <c r="V29" s="10">
        <v>0.1928</v>
      </c>
      <c r="W29" s="10">
        <v>11.568</v>
      </c>
      <c r="X29" s="23"/>
    </row>
    <row r="30" spans="1:24" ht="45.95" customHeight="1" x14ac:dyDescent="0.15">
      <c r="A30" s="7" t="s">
        <v>56</v>
      </c>
      <c r="B30" s="7" t="s">
        <v>22</v>
      </c>
      <c r="C30" s="12" t="s">
        <v>49</v>
      </c>
      <c r="D30" s="8" t="s">
        <v>35</v>
      </c>
      <c r="E30" s="8" t="s">
        <v>45</v>
      </c>
      <c r="F30" s="12" t="s">
        <v>73</v>
      </c>
      <c r="G30" s="10">
        <v>64</v>
      </c>
      <c r="H30" s="17" t="s">
        <v>70</v>
      </c>
      <c r="I30" s="29" t="s">
        <v>72</v>
      </c>
      <c r="J30" s="29" t="s">
        <v>101</v>
      </c>
      <c r="K30" s="8" t="s">
        <v>37</v>
      </c>
      <c r="L30" s="8" t="s">
        <v>30</v>
      </c>
      <c r="M30" s="10">
        <v>0</v>
      </c>
      <c r="N30" s="10">
        <v>1</v>
      </c>
      <c r="O30" s="10">
        <v>8259.4</v>
      </c>
      <c r="P30" s="10">
        <v>44.8</v>
      </c>
      <c r="Q30" s="10">
        <v>216.191</v>
      </c>
      <c r="R30" s="10">
        <v>18.946200000000001</v>
      </c>
      <c r="S30" s="10">
        <v>0.29603437500000002</v>
      </c>
      <c r="T30" s="10">
        <v>625.2989</v>
      </c>
      <c r="U30" s="10">
        <v>9.7702953125000001</v>
      </c>
      <c r="V30" s="10">
        <v>1.8499999999999999E-2</v>
      </c>
      <c r="W30" s="10">
        <v>1.1100000000000001</v>
      </c>
      <c r="X30" s="23"/>
    </row>
    <row r="31" spans="1:24" ht="45.95" customHeight="1" x14ac:dyDescent="0.15">
      <c r="A31" s="7" t="s">
        <v>56</v>
      </c>
      <c r="B31" s="7" t="s">
        <v>22</v>
      </c>
      <c r="C31" s="12" t="s">
        <v>49</v>
      </c>
      <c r="D31" s="8" t="s">
        <v>24</v>
      </c>
      <c r="E31" s="8" t="s">
        <v>45</v>
      </c>
      <c r="F31" s="12" t="s">
        <v>73</v>
      </c>
      <c r="G31" s="10">
        <v>64</v>
      </c>
      <c r="H31" s="17" t="s">
        <v>70</v>
      </c>
      <c r="I31" s="29" t="s">
        <v>72</v>
      </c>
      <c r="J31" s="29" t="s">
        <v>99</v>
      </c>
      <c r="K31" s="8" t="s">
        <v>38</v>
      </c>
      <c r="L31" s="8" t="s">
        <v>30</v>
      </c>
      <c r="M31" s="35">
        <v>0</v>
      </c>
      <c r="N31" s="10">
        <v>12.599299999999999</v>
      </c>
      <c r="O31" s="10">
        <v>114511.2</v>
      </c>
      <c r="P31" s="10">
        <v>47.5</v>
      </c>
      <c r="Q31" s="10">
        <v>712.053</v>
      </c>
      <c r="R31" s="10">
        <v>80.533199999999994</v>
      </c>
      <c r="S31" s="10">
        <v>1.2583312499999999</v>
      </c>
      <c r="T31" s="10">
        <v>10387.1026</v>
      </c>
      <c r="U31" s="10">
        <v>162.298478125</v>
      </c>
      <c r="V31" s="10">
        <v>7.8600000000000003E-2</v>
      </c>
      <c r="W31" s="10">
        <v>4.7160000000000002</v>
      </c>
      <c r="X31" s="23"/>
    </row>
    <row r="32" spans="1:24" ht="45.95" customHeight="1" x14ac:dyDescent="0.15">
      <c r="A32" s="7" t="s">
        <v>56</v>
      </c>
      <c r="B32" s="7" t="s">
        <v>22</v>
      </c>
      <c r="C32" s="12" t="s">
        <v>49</v>
      </c>
      <c r="D32" s="8" t="s">
        <v>24</v>
      </c>
      <c r="E32" s="8" t="s">
        <v>45</v>
      </c>
      <c r="F32" s="12" t="s">
        <v>73</v>
      </c>
      <c r="G32" s="10">
        <v>64</v>
      </c>
      <c r="H32" s="17" t="s">
        <v>70</v>
      </c>
      <c r="I32" s="29" t="s">
        <v>72</v>
      </c>
      <c r="J32" s="29" t="s">
        <v>99</v>
      </c>
      <c r="K32" s="8" t="s">
        <v>38</v>
      </c>
      <c r="L32" s="8" t="s">
        <v>30</v>
      </c>
      <c r="M32" s="33">
        <v>0.9</v>
      </c>
      <c r="N32" s="10">
        <v>5.8079000000000001</v>
      </c>
      <c r="O32" s="10">
        <v>13762.8</v>
      </c>
      <c r="P32" s="10">
        <v>49.6</v>
      </c>
      <c r="Q32" s="10">
        <v>266.459</v>
      </c>
      <c r="R32" s="10">
        <v>92.231700000000004</v>
      </c>
      <c r="S32" s="10">
        <v>1.4411203125000001</v>
      </c>
      <c r="T32" s="10">
        <v>11898.2477</v>
      </c>
      <c r="U32" s="10">
        <v>185.9101203125</v>
      </c>
      <c r="V32" s="10">
        <v>9.01E-2</v>
      </c>
      <c r="W32" s="10">
        <v>5.4059999999999997</v>
      </c>
      <c r="X32" s="23"/>
    </row>
    <row r="33" spans="1:24" ht="45.95" customHeight="1" x14ac:dyDescent="0.15">
      <c r="A33" s="7" t="s">
        <v>56</v>
      </c>
      <c r="B33" s="7" t="s">
        <v>22</v>
      </c>
      <c r="C33" s="12" t="s">
        <v>49</v>
      </c>
      <c r="D33" s="8" t="s">
        <v>35</v>
      </c>
      <c r="E33" s="8" t="s">
        <v>45</v>
      </c>
      <c r="F33" s="12" t="s">
        <v>73</v>
      </c>
      <c r="G33" s="10">
        <v>64</v>
      </c>
      <c r="H33" s="17" t="s">
        <v>70</v>
      </c>
      <c r="I33" s="29" t="s">
        <v>72</v>
      </c>
      <c r="J33" s="29" t="s">
        <v>99</v>
      </c>
      <c r="K33" s="8" t="s">
        <v>38</v>
      </c>
      <c r="L33" s="8" t="s">
        <v>30</v>
      </c>
      <c r="M33" s="35">
        <v>0</v>
      </c>
      <c r="N33" s="10">
        <v>1</v>
      </c>
      <c r="O33" s="10">
        <v>35060.300000000003</v>
      </c>
      <c r="P33" s="10">
        <v>46.3</v>
      </c>
      <c r="Q33" s="10">
        <v>329.58600000000001</v>
      </c>
      <c r="R33" s="10">
        <v>12.4277</v>
      </c>
      <c r="S33" s="10">
        <v>0.1941828125</v>
      </c>
      <c r="T33" s="10">
        <v>1603.2202</v>
      </c>
      <c r="U33" s="10">
        <v>25.050315625</v>
      </c>
      <c r="V33" s="10">
        <v>1.21E-2</v>
      </c>
      <c r="W33" s="10">
        <v>0.72599999999999998</v>
      </c>
      <c r="X33" s="23"/>
    </row>
    <row r="34" spans="1:24" ht="45.95" customHeight="1" x14ac:dyDescent="0.15">
      <c r="A34" s="7" t="s">
        <v>56</v>
      </c>
      <c r="B34" s="7" t="s">
        <v>22</v>
      </c>
      <c r="C34" s="12" t="s">
        <v>49</v>
      </c>
      <c r="D34" s="8" t="s">
        <v>39</v>
      </c>
      <c r="E34" s="8" t="s">
        <v>45</v>
      </c>
      <c r="F34" s="12" t="s">
        <v>73</v>
      </c>
      <c r="G34" s="10">
        <v>64</v>
      </c>
      <c r="H34" s="17" t="s">
        <v>70</v>
      </c>
      <c r="I34" s="29" t="s">
        <v>72</v>
      </c>
      <c r="J34" s="29" t="s">
        <v>100</v>
      </c>
      <c r="K34" s="7" t="s">
        <v>48</v>
      </c>
      <c r="L34" s="8" t="s">
        <v>30</v>
      </c>
      <c r="M34" s="33">
        <v>0.99</v>
      </c>
      <c r="N34" s="10">
        <v>1</v>
      </c>
      <c r="O34" s="10">
        <v>615637.6</v>
      </c>
      <c r="P34" s="10">
        <v>62.6</v>
      </c>
      <c r="Q34" s="10">
        <v>1718.896</v>
      </c>
      <c r="R34" s="10">
        <v>1.5065</v>
      </c>
      <c r="S34" s="10">
        <v>2.3539062499999999E-2</v>
      </c>
      <c r="T34" s="10">
        <v>1505.0636999999999</v>
      </c>
      <c r="U34" s="10">
        <v>23.516620312499999</v>
      </c>
      <c r="V34" s="10">
        <v>1.5E-3</v>
      </c>
      <c r="W34" s="10">
        <v>0.09</v>
      </c>
      <c r="X34" s="23"/>
    </row>
  </sheetData>
  <autoFilter ref="A1:X16" xr:uid="{00000000-0001-0000-0100-000000000000}">
    <filterColumn colId="2">
      <filters>
        <filter val="A3PD分离"/>
      </filters>
    </filterColumn>
  </autoFilter>
  <mergeCells count="2">
    <mergeCell ref="A17:W17"/>
    <mergeCell ref="J10:J16"/>
  </mergeCells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说明</vt:lpstr>
      <vt:lpstr>V4 Flash模型性能基线</vt:lpstr>
      <vt:lpstr>V4 Pro模型性能基线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Sunchengli(Aaron)</dc:creator>
  <cp:lastModifiedBy>denghui xiao</cp:lastModifiedBy>
  <cp:lastPrinted>2006-01-19T03:50:08Z</cp:lastPrinted>
  <dcterms:created xsi:type="dcterms:W3CDTF">2003-11-11T03:59:45Z</dcterms:created>
  <dcterms:modified xsi:type="dcterms:W3CDTF">2026-06-25T10:46:56Z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